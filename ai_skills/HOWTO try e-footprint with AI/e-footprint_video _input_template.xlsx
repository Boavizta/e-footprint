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publicisgroupe.sharepoint.com/sites/e-footprintetcarboncases/Shared Documents/Steering and strategy/2026-Extension formats image video/Simplified input video/prep reusable template claude/files/"/>
    </mc:Choice>
  </mc:AlternateContent>
  <xr:revisionPtr revIDLastSave="15" documentId="11_C666ED1E4AF797FE2D7A8E1A70D631ED3DCC1B00" xr6:coauthVersionLast="47" xr6:coauthVersionMax="47" xr10:uidLastSave="{B080E931-97D0-2A46-BC66-9C180FF38434}"/>
  <bookViews>
    <workbookView xWindow="0" yWindow="600" windowWidth="28800" windowHeight="13100" tabRatio="500" activeTab="2" xr2:uid="{00000000-000D-0000-FFFF-FFFF00000000}"/>
  </bookViews>
  <sheets>
    <sheet name="Instructions" sheetId="1" r:id="rId1"/>
    <sheet name="LLM jobs" sheetId="2" r:id="rId2"/>
    <sheet name="Token estimator" sheetId="4" r:id="rId3"/>
    <sheet name="Video jobs" sheetId="3" r:id="rId4"/>
    <sheet name="Usage &amp; context" sheetId="5" r:id="rId5"/>
    <sheet name="Reference lists" sheetId="6" r:id="rId6"/>
  </sheets>
  <definedNames>
    <definedName name="countries_list">'Reference lists'!$C$2:$C$127</definedName>
    <definedName name="devices_list">'Reference lists'!$D$2:$D$5</definedName>
    <definedName name="models_text_anthropic">'Reference lists'!$I$2:$I$17</definedName>
    <definedName name="models_text_cohere">'Reference lists'!$J$2:$J$12</definedName>
    <definedName name="models_text_google_genai">'Reference lists'!$K$2:$K$23</definedName>
    <definedName name="models_text_huggingface_hub">'Reference lists'!$L$2:$L$177</definedName>
    <definedName name="models_text_mistralai">'Reference lists'!$M$2:$M$47</definedName>
    <definedName name="models_text_openai">'Reference lists'!$N$2:$N$86</definedName>
    <definedName name="models_video_alibaba">'Reference lists'!$O$2:$O$3</definedName>
    <definedName name="models_video_bytedance">'Reference lists'!$P$2:$P$3</definedName>
    <definedName name="models_video_google">'Reference lists'!$Q$2:$Q$5</definedName>
    <definedName name="models_video_klingai">'Reference lists'!$R$2:$R$4</definedName>
    <definedName name="models_video_lightricks">'Reference lists'!$S$2:$S$3</definedName>
    <definedName name="models_video_openai">'Reference lists'!$T$2:$T$2</definedName>
    <definedName name="models_video_runway">'Reference lists'!$U$2:$U$2</definedName>
    <definedName name="models_video_tencent">'Reference lists'!$V$2:$V$3</definedName>
    <definedName name="networks_list">'Reference lists'!$E$2:$E$3</definedName>
    <definedName name="reply_length_labels_list">'Reference lists'!$AR$2:$AR$6</definedName>
    <definedName name="reply_length_tokens_map">'Reference lists'!$AS$2:$AT$6</definedName>
    <definedName name="resolutions_gen_4_5">'Reference lists'!$AB$2:$AB$2</definedName>
    <definedName name="resolutions_hunyuanvideo">'Reference lists'!$AE$2:$AE$2</definedName>
    <definedName name="resolutions_hunyuanvideo_1_5">'Reference lists'!$AF$2:$AF$2</definedName>
    <definedName name="resolutions_kling_v1_6">'Reference lists'!$W$2:$W$2</definedName>
    <definedName name="resolutions_kling_v2_6">'Reference lists'!$X$2:$X$2</definedName>
    <definedName name="resolutions_kling_v3">'Reference lists'!$Y$2:$Y$2</definedName>
    <definedName name="resolutions_ltx_2_t2v">'Reference lists'!$AD$2:$AD$2</definedName>
    <definedName name="resolutions_ltx_2_t2va">'Reference lists'!$AC$2:$AC$2</definedName>
    <definedName name="resolutions_seedance_1_0">'Reference lists'!$Z$2:$Z$3</definedName>
    <definedName name="resolutions_seedance_1_5_pro">'Reference lists'!$AA$2:$AA$3</definedName>
    <definedName name="resolutions_sora_2_pro">'Reference lists'!$AI$2:$AI$3</definedName>
    <definedName name="resolutions_veo_3_0">'Reference lists'!$AJ$2:$AJ$3</definedName>
    <definedName name="resolutions_veo_3_0_fast">'Reference lists'!$AK$2:$AK$3</definedName>
    <definedName name="resolutions_veo_3_1">'Reference lists'!$AL$2:$AL$3</definedName>
    <definedName name="resolutions_veo_3_1_fast">'Reference lists'!$AM$2:$AM$3</definedName>
    <definedName name="resolutions_wan2_1">'Reference lists'!$AG$2:$AG$2</definedName>
    <definedName name="resolutions_wan2_2">'Reference lists'!$AH$2:$AH$2</definedName>
    <definedName name="text_provider_examples_map">'Reference lists'!$AN$2:$AO$7</definedName>
    <definedName name="text_providers">'Reference lists'!$A$2:$A$7</definedName>
    <definedName name="timespan_units_list">'Reference lists'!$F$2:$F$4</definedName>
    <definedName name="video_provider_examples_map">'Reference lists'!$AP$2:$AQ$9</definedName>
    <definedName name="video_providers">'Reference lists'!$B$2:$B$9</definedName>
    <definedName name="video_resolutions_list">'Reference lists'!$H$2:$H$5</definedName>
    <definedName name="yes_no_list">'Reference lists'!$G$2:$G$3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4" l="1"/>
  <c r="B13" i="4"/>
  <c r="C13" i="3"/>
  <c r="C12" i="3"/>
  <c r="C11" i="3"/>
  <c r="C10" i="3"/>
  <c r="C9" i="3"/>
  <c r="C8" i="3"/>
  <c r="C7" i="3"/>
  <c r="C6" i="3"/>
  <c r="C5" i="3"/>
  <c r="C4" i="3"/>
  <c r="C3" i="3"/>
  <c r="C2" i="3"/>
  <c r="F13" i="2"/>
  <c r="C13" i="2"/>
  <c r="F12" i="2"/>
  <c r="C12" i="2"/>
  <c r="F11" i="2"/>
  <c r="C11" i="2"/>
  <c r="F10" i="2"/>
  <c r="C10" i="2"/>
  <c r="F9" i="2"/>
  <c r="C9" i="2"/>
  <c r="F8" i="2"/>
  <c r="C8" i="2"/>
  <c r="F7" i="2"/>
  <c r="C7" i="2"/>
  <c r="F6" i="2"/>
  <c r="C6" i="2"/>
  <c r="F5" i="2"/>
  <c r="C5" i="2"/>
  <c r="F4" i="2"/>
  <c r="C4" i="2"/>
  <c r="F3" i="2"/>
  <c r="C3" i="2"/>
  <c r="F2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100-000001000000}">
      <text>
        <r>
          <rPr>
            <sz val="10"/>
            <rFont val="Arial"/>
            <family val="2"/>
          </rPr>
          <t>Count every reply you actually get each time this step runs - including tools that generate several answers per call, and any retries or regenerations you'd typically do. Example: if you generate 1 prompt and never retry, enter 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200-000001000000}">
      <text>
        <r>
          <rPr>
            <sz val="10"/>
            <color rgb="FF000000"/>
            <rFont val="Arial"/>
            <family val="2"/>
          </rPr>
          <t>This dropdown only lists resolutions your chosen Model actually supports - pick a Model first.</t>
        </r>
      </text>
    </comment>
    <comment ref="H1" authorId="0" shapeId="0" xr:uid="{00000000-0006-0000-0200-000002000000}">
      <text>
        <r>
          <rPr>
            <sz val="10"/>
            <color rgb="FF000000"/>
            <rFont val="Arial"/>
            <family val="2"/>
          </rPr>
          <t>Count every video you actually get each time this step runs - including settings that generate several clips per call, and any retries or re-generations you'd typically do. Example: 1 prompt generating 10 clips -&gt; enter 10.</t>
        </r>
      </text>
    </comment>
  </commentList>
</comments>
</file>

<file path=xl/sharedStrings.xml><?xml version="1.0" encoding="utf-8"?>
<sst xmlns="http://schemas.openxmlformats.org/spreadsheetml/2006/main" count="733" uniqueCount="655">
  <si>
    <t>e-footprint input template</t>
  </si>
  <si>
    <t>Don't worry about being precise. Order-of-magnitude numbers are enough for a useful first estimate - you can refine them later.</t>
  </si>
  <si>
    <t>Purpose</t>
  </si>
  <si>
    <t>Fill in the yellow cells on the 'LLM jobs', 'Video jobs' and 'Usage &amp; context' tabs to describe a GenAI workflow (e.g. "generate a prompt, then generate N videos from it"). Then hand the file to an AI assistant that has the efootprint library available (see the prompt templates provided alongside this file) to get a runnable model and a footprint estimate.</t>
  </si>
  <si>
    <t>How to use it</t>
  </si>
  <si>
    <t>1. 'LLM jobs' tab: one row per text-generation call (prompting, chat, summarization, etc.). Leave unused rows blank. Pick a Provider first - the Model dropdown then only shows that provider's models, and the 'Popular examples' column shows a few well-known ones to help you find the right family. Not sure how many tokens a reply is? Use the 'Reply length' helper column, or the 'Token estimator' tab.</t>
  </si>
  <si>
    <t>2. 'Video jobs' tab: same idea, one row per text-to-video (or image-to-video) generation call. The Resolution dropdown automatically only shows resolutions your chosen Model actually supports.</t>
  </si>
  <si>
    <t>3. 'Usage &amp; context' tab: a short set of plain questions about how often the workflow runs and where.</t>
  </si>
  <si>
    <t>Notes</t>
  </si>
  <si>
    <t>- Model/provider catalogs reflect the EcoLogits library bundled with e-footprint at the time this sheet was generated; new models are added upstream regularly, so re-check if yours is missing.</t>
  </si>
  <si>
    <t>- The "outputs per run" columns on the job tabs count every output you actually get each time the workflow runs - including tools that generate several images/videos per call, and any retries or re-generations you'd typically do. See the column header note on each tab for the exact wording.</t>
  </si>
  <si>
    <t>Job / step name</t>
  </si>
  <si>
    <t>Provider</t>
  </si>
  <si>
    <t>Popular examples for this provider (info)</t>
  </si>
  <si>
    <t>Model</t>
  </si>
  <si>
    <t>Reply length (optional helper)</t>
  </si>
  <si>
    <t>-&gt; approx. tokens (info)</t>
  </si>
  <si>
    <t>Avg output tokens (fill this in)</t>
  </si>
  <si>
    <t>Outputs per run (see note)</t>
  </si>
  <si>
    <t>EXAMPLE - Prompt generation (edit or delete)</t>
  </si>
  <si>
    <t>openai</t>
  </si>
  <si>
    <t>gpt-4o</t>
  </si>
  <si>
    <t>Short reply (a sentence or two)</t>
  </si>
  <si>
    <t>~200-character prompt</t>
  </si>
  <si>
    <t>Resolution (auto-filtered to your Model)</t>
  </si>
  <si>
    <t>Duration (seconds)</t>
  </si>
  <si>
    <t>Generates audio too?</t>
  </si>
  <si>
    <t>EXAMPLE - Video generation (edit or delete)</t>
  </si>
  <si>
    <t>klingai</t>
  </si>
  <si>
    <t>kling-v2.6</t>
  </si>
  <si>
    <t>720p (1280 x 720)</t>
  </si>
  <si>
    <t>No</t>
  </si>
  <si>
    <t>10 clips generated from the step-1 prompt</t>
  </si>
  <si>
    <t>Not sure how many tokens your text is? Two ways to estimate:</t>
  </si>
  <si>
    <t>1. Quick reference table</t>
  </si>
  <si>
    <t>Size category</t>
  </si>
  <si>
    <t>Approx. tokens</t>
  </si>
  <si>
    <t>Roughly...</t>
  </si>
  <si>
    <t>~40</t>
  </si>
  <si>
    <t>A short reply like "Sure, here's your answer."</t>
  </si>
  <si>
    <t>Short paragraph</t>
  </si>
  <si>
    <t>~125</t>
  </si>
  <si>
    <t>A short paragraph, a few sentences</t>
  </si>
  <si>
    <t>Medium response (a few paragraphs)</t>
  </si>
  <si>
    <t>~375</t>
  </si>
  <si>
    <t>A few paragraphs - a typical chat answer</t>
  </si>
  <si>
    <t>Long response / short article</t>
  </si>
  <si>
    <t>~1000</t>
  </si>
  <si>
    <t>Several paragraphs - a short article</t>
  </si>
  <si>
    <t>Long article / page</t>
  </si>
  <si>
    <t>~2000</t>
  </si>
  <si>
    <t>A full page of text</t>
  </si>
  <si>
    <t>2. Quick calculator (rule of thumb)</t>
  </si>
  <si>
    <t>Enter your approx. character count:</t>
  </si>
  <si>
    <t>E.g. paste your text into any word processor and check its character count, or just estimate.</t>
  </si>
  <si>
    <t>-&gt; Estimated tokens (characters / 4):</t>
  </si>
  <si>
    <t>Rule of thumb: ~4 characters = ~1 token for English text. Approximate - actual tokenization varies by model and language.</t>
  </si>
  <si>
    <t>Enter your approx. word count instead:</t>
  </si>
  <si>
    <t>-&gt; Estimated tokens (words x 1.3):</t>
  </si>
  <si>
    <t>Rule of thumb: ~1.3 tokens per English word.</t>
  </si>
  <si>
    <t>Once you have a number, type it into 'Avg output tokens' on the LLM jobs tab.</t>
  </si>
  <si>
    <t>Question</t>
  </si>
  <si>
    <t>Your answer</t>
  </si>
  <si>
    <t>Guidance</t>
  </si>
  <si>
    <t>What are you modeling? (one sentence)</t>
  </si>
  <si>
    <t>Prompt + video generation workflow</t>
  </si>
  <si>
    <t>A short description of the whole scenario, for your own reference.</t>
  </si>
  <si>
    <t>What timeframe are you considering?</t>
  </si>
  <si>
    <t>month</t>
  </si>
  <si>
    <t>day / month / year (dropdown). Pick whatever period you naturally think in.</t>
  </si>
  <si>
    <t>How many times would this whole workflow run in that timeframe?</t>
  </si>
  <si>
    <t>E.g. if you picked 'month' above and this runs about 500 times a month, enter 500.</t>
  </si>
  <si>
    <t>Do you expect this to grow over time?</t>
  </si>
  <si>
    <t>Yes / No (dropdown).</t>
  </si>
  <si>
    <t>If yes, by roughly what % per year?</t>
  </si>
  <si>
    <t>Leave as 0 if you answered No above.</t>
  </si>
  <si>
    <t>When does this start? (YYYY-MM-DD)</t>
  </si>
  <si>
    <t>2026-01-01</t>
  </si>
  <si>
    <t>Defaults to 2026-01-01 - edit if you want a different start date.</t>
  </si>
  <si>
    <t>Where does this happen? (country)</t>
  </si>
  <si>
    <t>FRANCE</t>
  </si>
  <si>
    <t>Only affects the electricity used by the end-user device that triggers the workflow (e.g. your laptop) - not the API/model servers, which use the provider's own datacenter location automatically.</t>
  </si>
  <si>
    <t>What device is used to run this, if any?</t>
  </si>
  <si>
    <t>laptop</t>
  </si>
  <si>
    <t>The end-user's device that triggers the workflow. Leave as laptop if unsure - for API-based workflows like this one it has only a minor effect on the total.</t>
  </si>
  <si>
    <t>What network connection?</t>
  </si>
  <si>
    <t>wifi</t>
  </si>
  <si>
    <t>wifi / mobile (dropdown). The end-user device's connection - not related to the API servers. Leave as wifi if unsure.</t>
  </si>
  <si>
    <t>text_providers</t>
  </si>
  <si>
    <t>video_providers</t>
  </si>
  <si>
    <t>countries</t>
  </si>
  <si>
    <t>devices</t>
  </si>
  <si>
    <t>networks</t>
  </si>
  <si>
    <t>timespan_units</t>
  </si>
  <si>
    <t>yes_no</t>
  </si>
  <si>
    <t>video_resolutions</t>
  </si>
  <si>
    <t>models_text_anthropic</t>
  </si>
  <si>
    <t>models_text_cohere</t>
  </si>
  <si>
    <t>models_text_google_genai</t>
  </si>
  <si>
    <t>models_text_huggingface_hub</t>
  </si>
  <si>
    <t>models_text_mistralai</t>
  </si>
  <si>
    <t>models_text_openai</t>
  </si>
  <si>
    <t>models_video_alibaba</t>
  </si>
  <si>
    <t>models_video_bytedance</t>
  </si>
  <si>
    <t>models_video_google</t>
  </si>
  <si>
    <t>models_video_klingai</t>
  </si>
  <si>
    <t>models_video_lightricks</t>
  </si>
  <si>
    <t>models_video_openai</t>
  </si>
  <si>
    <t>models_video_runway</t>
  </si>
  <si>
    <t>models_video_tencent</t>
  </si>
  <si>
    <t>resolutions_kling_v1_6</t>
  </si>
  <si>
    <t>resolutions_kling_v2_6</t>
  </si>
  <si>
    <t>resolutions_kling_v3</t>
  </si>
  <si>
    <t>resolutions_seedance_1_0</t>
  </si>
  <si>
    <t>resolutions_seedance_1_5_pro</t>
  </si>
  <si>
    <t>resolutions_gen_4_5</t>
  </si>
  <si>
    <t>resolutions_ltx_2_t2va</t>
  </si>
  <si>
    <t>resolutions_ltx_2_t2v</t>
  </si>
  <si>
    <t>resolutions_hunyuanvideo</t>
  </si>
  <si>
    <t>resolutions_hunyuanvideo_1_5</t>
  </si>
  <si>
    <t>resolutions_wan2_1</t>
  </si>
  <si>
    <t>resolutions_wan2_2</t>
  </si>
  <si>
    <t>resolutions_sora_2_pro</t>
  </si>
  <si>
    <t>resolutions_veo_3_0</t>
  </si>
  <si>
    <t>resolutions_veo_3_0_fast</t>
  </si>
  <si>
    <t>resolutions_veo_3_1</t>
  </si>
  <si>
    <t>resolutions_veo_3_1_fast</t>
  </si>
  <si>
    <t>text_provider</t>
  </si>
  <si>
    <t>popular_examples</t>
  </si>
  <si>
    <t>video_provider</t>
  </si>
  <si>
    <t>reply_length_labels</t>
  </si>
  <si>
    <t>reply_length_label</t>
  </si>
  <si>
    <t>approx_tokens</t>
  </si>
  <si>
    <t>anthropic</t>
  </si>
  <si>
    <t>alibaba</t>
  </si>
  <si>
    <t>AFGHANISTAN</t>
  </si>
  <si>
    <t>smartphone</t>
  </si>
  <si>
    <t>day</t>
  </si>
  <si>
    <t>Yes</t>
  </si>
  <si>
    <t>1080p (1920 x 1080)</t>
  </si>
  <si>
    <t>claude-opus-4-1-20250805</t>
  </si>
  <si>
    <t>c4ai-aya-expanse-32b</t>
  </si>
  <si>
    <t>gemini-2.0-flash</t>
  </si>
  <si>
    <t>databricks/dolly-v1-6b</t>
  </si>
  <si>
    <t>codestral-2405</t>
  </si>
  <si>
    <t>chat-latest</t>
  </si>
  <si>
    <t>wan2.1</t>
  </si>
  <si>
    <t>seedance-1.0</t>
  </si>
  <si>
    <t>veo-3.0</t>
  </si>
  <si>
    <t>kling-v1.6</t>
  </si>
  <si>
    <t>ltx-2-t2va</t>
  </si>
  <si>
    <t>sora-2-pro</t>
  </si>
  <si>
    <t>gen-4.5</t>
  </si>
  <si>
    <t>hunyuanvideo</t>
  </si>
  <si>
    <t>480p (854 x 480)</t>
  </si>
  <si>
    <t>576p (1024 x 576)</t>
  </si>
  <si>
    <t>claude-sonnet-4-6, claude-opus-4-1-20250805, claude-haiku-4-5-20251001</t>
  </si>
  <si>
    <t>wan2.2</t>
  </si>
  <si>
    <t>cohere</t>
  </si>
  <si>
    <t>bytedance</t>
  </si>
  <si>
    <t>ALGERIA</t>
  </si>
  <si>
    <t>mobile</t>
  </si>
  <si>
    <t>claude-opus-4-20250514</t>
  </si>
  <si>
    <t>c4ai-aya-vision-32b</t>
  </si>
  <si>
    <t>gemini-2.0-flash-001</t>
  </si>
  <si>
    <t>databricks/dolly-v2-12b</t>
  </si>
  <si>
    <t>codestral-2411-rc5</t>
  </si>
  <si>
    <t>gpt-3.5-turbo</t>
  </si>
  <si>
    <t>seedance-1.5-pro</t>
  </si>
  <si>
    <t>veo-3.0-fast</t>
  </si>
  <si>
    <t>ltx-2-t2v</t>
  </si>
  <si>
    <t>hunyuanvideo-1.5</t>
  </si>
  <si>
    <t>command-a-03-2025</t>
  </si>
  <si>
    <t>google_genai</t>
  </si>
  <si>
    <t>google</t>
  </si>
  <si>
    <t>ANGOLA</t>
  </si>
  <si>
    <t>box</t>
  </si>
  <si>
    <t>year</t>
  </si>
  <si>
    <t>claude-sonnet-4-20250514</t>
  </si>
  <si>
    <t>gemini-2.0-flash-lite</t>
  </si>
  <si>
    <t>databricks/dolly-v2-7b</t>
  </si>
  <si>
    <t>codestral-2412</t>
  </si>
  <si>
    <t>gpt-3.5-turbo-0125</t>
  </si>
  <si>
    <t>veo-3.1</t>
  </si>
  <si>
    <t>kling-v3</t>
  </si>
  <si>
    <t>gemini-2.5-flash, gemini-2.5-pro</t>
  </si>
  <si>
    <t>huggingface_hub</t>
  </si>
  <si>
    <t>ARGENTINA</t>
  </si>
  <si>
    <t>screen</t>
  </si>
  <si>
    <t>claude-sonnet-4-5-20250929</t>
  </si>
  <si>
    <t>command-a-plus-05-2026</t>
  </si>
  <si>
    <t>gemini-2.0-flash-lite-001</t>
  </si>
  <si>
    <t>databricks/dolly-v2-3b</t>
  </si>
  <si>
    <t>codestral-2501</t>
  </si>
  <si>
    <t>gpt-3.5-turbo-1106</t>
  </si>
  <si>
    <t>veo-3.1-fast</t>
  </si>
  <si>
    <t>meta-llama/Meta-Llama-3.1-70B-Instruct, mistralai/Mixtral-8x7B-Instruct-v0.1</t>
  </si>
  <si>
    <t>mistralai</t>
  </si>
  <si>
    <t>lightricks</t>
  </si>
  <si>
    <t>AUSTRALIA</t>
  </si>
  <si>
    <t>claude-sonnet-4-6</t>
  </si>
  <si>
    <t>command-a-reasoning-08-2025</t>
  </si>
  <si>
    <t>gemini-2.5-flash</t>
  </si>
  <si>
    <t>databricks/dbrx-base</t>
  </si>
  <si>
    <t>codestral-2508</t>
  </si>
  <si>
    <t>gpt-3.5-turbo-16k</t>
  </si>
  <si>
    <t>mistral-large-latest, mistral-small-latest</t>
  </si>
  <si>
    <t>AUSTRIA</t>
  </si>
  <si>
    <t>claude-haiku-4-5-20251001</t>
  </si>
  <si>
    <t>command-a-translate-08-2025</t>
  </si>
  <si>
    <t>gemini-2.5-flash-image</t>
  </si>
  <si>
    <t>databricks/dbrx-instruct</t>
  </si>
  <si>
    <t>codestral-latest</t>
  </si>
  <si>
    <t>gpt-3.5-turbo-instruct</t>
  </si>
  <si>
    <t>gpt-4o, gpt-4.1, gpt-5</t>
  </si>
  <si>
    <t>runway</t>
  </si>
  <si>
    <t>AZERBAIJAN</t>
  </si>
  <si>
    <t>claude-opus-4-5-20251101</t>
  </si>
  <si>
    <t>command-a-vision-07-2025</t>
  </si>
  <si>
    <t>gemini-2.5-flash-lite</t>
  </si>
  <si>
    <t>mistralai/Mistral-7B-v0.1</t>
  </si>
  <si>
    <t>devstral-2512</t>
  </si>
  <si>
    <t>gpt-3.5-turbo-instruct-0914</t>
  </si>
  <si>
    <t>tencent</t>
  </si>
  <si>
    <t>BANGLADESH</t>
  </si>
  <si>
    <t>claude-opus-4-6</t>
  </si>
  <si>
    <t>command-r-08-2024</t>
  </si>
  <si>
    <t>gemini-2.5-pro</t>
  </si>
  <si>
    <t>mistralai/Mistral-7B-Instruct-v0.1</t>
  </si>
  <si>
    <t>devstral-latest</t>
  </si>
  <si>
    <t>gpt-4</t>
  </si>
  <si>
    <t>BELARUS</t>
  </si>
  <si>
    <t>claude-opus-4-7</t>
  </si>
  <si>
    <t>command-r-plus-08-2024</t>
  </si>
  <si>
    <t>gemini-3-flash-preview</t>
  </si>
  <si>
    <t>mistralai/Mixtral-8x7B-v0.1</t>
  </si>
  <si>
    <t>devstral-medium-latest</t>
  </si>
  <si>
    <t>gpt-4-0613</t>
  </si>
  <si>
    <t>BELGIUM</t>
  </si>
  <si>
    <t>claude-opus-4-8</t>
  </si>
  <si>
    <t>command-r7b-12-2024</t>
  </si>
  <si>
    <t>gemini-3-pro-image-preview</t>
  </si>
  <si>
    <t>mistralai/Mixtral-8x7B-Instruct-v0.1</t>
  </si>
  <si>
    <t>magistral-medium-2509</t>
  </si>
  <si>
    <t>gpt-4-turbo</t>
  </si>
  <si>
    <t>BENIN</t>
  </si>
  <si>
    <t>claude-opus-4-1</t>
  </si>
  <si>
    <t>command-r7b-arabic-02-2025</t>
  </si>
  <si>
    <t>gemini-3-pro-preview</t>
  </si>
  <si>
    <t>mistralai/Mistral-7B-Instruct-v0.2</t>
  </si>
  <si>
    <t>magistral-medium-latest</t>
  </si>
  <si>
    <t>gpt-4-turbo-2024-04-09</t>
  </si>
  <si>
    <t>BOLIVIA</t>
  </si>
  <si>
    <t>claude-opus-4-0</t>
  </si>
  <si>
    <t>gemini-3.1-flash-image-preview</t>
  </si>
  <si>
    <t>mistralai/Mixtral-8x22B-v0.1</t>
  </si>
  <si>
    <t>magistral-small-2509</t>
  </si>
  <si>
    <t>gpt-4.1</t>
  </si>
  <si>
    <t>BRAZIL</t>
  </si>
  <si>
    <t>claude-sonnet-4-0</t>
  </si>
  <si>
    <t>gemini-3.1-flash-lite</t>
  </si>
  <si>
    <t>mistralai/Mixtral-8x22B-Instruct-v0.1</t>
  </si>
  <si>
    <t>magistral-small-latest</t>
  </si>
  <si>
    <t>gpt-4.1-2025-04-14</t>
  </si>
  <si>
    <t>BULGARIA</t>
  </si>
  <si>
    <t>claude-haiku-4-5</t>
  </si>
  <si>
    <t>gemini-3.1-flash-lite-preview</t>
  </si>
  <si>
    <t>mistralai/Mistral-7B-v0.3</t>
  </si>
  <si>
    <t>ministral-14b-2512</t>
  </si>
  <si>
    <t>gpt-4.1-mini</t>
  </si>
  <si>
    <t>BURKINA_FASO</t>
  </si>
  <si>
    <t>claude-sonnet-4-5</t>
  </si>
  <si>
    <t>gemini-3.1-pro-preview</t>
  </si>
  <si>
    <t>mistralai/Mistral-7B-Instruct-v0.3</t>
  </si>
  <si>
    <t>ministral-14b-latest</t>
  </si>
  <si>
    <t>gpt-4.1-mini-2025-04-14</t>
  </si>
  <si>
    <t>BURUNDI</t>
  </si>
  <si>
    <t>claude-opus-4-5</t>
  </si>
  <si>
    <t>gemini-3.1-pro-preview-customtools</t>
  </si>
  <si>
    <t>mistralai/Codestral-22B-v0.1</t>
  </si>
  <si>
    <t>ministral-3b-2512</t>
  </si>
  <si>
    <t>gpt-4.1-nano</t>
  </si>
  <si>
    <t>CAMBODIA</t>
  </si>
  <si>
    <t>gemini-3.5-flash</t>
  </si>
  <si>
    <t>mistralai/Mathstral-7B-v0.1</t>
  </si>
  <si>
    <t>ministral-3b-latest</t>
  </si>
  <si>
    <t>gpt-4.1-nano-2025-04-14</t>
  </si>
  <si>
    <t>CAMEROON</t>
  </si>
  <si>
    <t>gemini-flash-latest</t>
  </si>
  <si>
    <t>mistralai/Mistral-Nemo-Instruct-2407</t>
  </si>
  <si>
    <t>ministral-8b-2512</t>
  </si>
  <si>
    <t>CANADA</t>
  </si>
  <si>
    <t>gemini-flash-lite-latest</t>
  </si>
  <si>
    <t>mistralai/Mistral-Nemo-Base-2407</t>
  </si>
  <si>
    <t>ministral-8b-latest</t>
  </si>
  <si>
    <t>gpt-4o-2024-05-13</t>
  </si>
  <si>
    <t>CENTRAL_AFRICAN_REPUBLIC</t>
  </si>
  <si>
    <t>gemini-pro-latest</t>
  </si>
  <si>
    <t>mistralai/Mistral-Large-Instruct-2407</t>
  </si>
  <si>
    <t>mistral-large-2512</t>
  </si>
  <si>
    <t>gpt-4o-2024-08-06</t>
  </si>
  <si>
    <t>CHAD</t>
  </si>
  <si>
    <t>gemma-4-26b-a4b-it</t>
  </si>
  <si>
    <t>mistral-community/Mistral-7B-v0.2</t>
  </si>
  <si>
    <t>mistral-large-latest</t>
  </si>
  <si>
    <t>gpt-4o-2024-11-20</t>
  </si>
  <si>
    <t>CHILE</t>
  </si>
  <si>
    <t>gemma-4-31b-it</t>
  </si>
  <si>
    <t>mistral-community/Mixtral-8x22B-v0.1</t>
  </si>
  <si>
    <t>mistral-medium</t>
  </si>
  <si>
    <t>gpt-4o-mini</t>
  </si>
  <si>
    <t>CHINA</t>
  </si>
  <si>
    <t>mistral-community/Mixtral-8x22B-v0.1-original</t>
  </si>
  <si>
    <t>mistral-medium-2505</t>
  </si>
  <si>
    <t>gpt-4o-mini-2024-07-18</t>
  </si>
  <si>
    <t>COLOMBIA</t>
  </si>
  <si>
    <t>mistral-community/Mixtral-8x22B-v0.1-4bit</t>
  </si>
  <si>
    <t>mistral-medium-2508</t>
  </si>
  <si>
    <t>gpt-4o-mini-search-preview</t>
  </si>
  <si>
    <t>CONGO</t>
  </si>
  <si>
    <t>mistral-community/Mixtral-8x22B-v0.1-AWQ</t>
  </si>
  <si>
    <t>mistral-medium-2604</t>
  </si>
  <si>
    <t>gpt-4o-mini-search-preview-2025-03-11</t>
  </si>
  <si>
    <t>COSTA_RICA</t>
  </si>
  <si>
    <t>mistral-community/Mixtral-8x22B-Instruct-v0.1-4bit</t>
  </si>
  <si>
    <t>mistral-medium-3</t>
  </si>
  <si>
    <t>gpt-4o-mini-transcribe</t>
  </si>
  <si>
    <t>COTE_D_IVOIRE</t>
  </si>
  <si>
    <t>mistral-community/mixtral-8x22B-Instruct-v0.3-original</t>
  </si>
  <si>
    <t>mistral-medium-3-5</t>
  </si>
  <si>
    <t>gpt-4o-mini-transcribe-2025-03-20</t>
  </si>
  <si>
    <t>CUBA</t>
  </si>
  <si>
    <t>mistral-community/mixtral-8x22B-v0.3-original</t>
  </si>
  <si>
    <t>mistral-medium-3.5</t>
  </si>
  <si>
    <t>gpt-4o-mini-transcribe-2025-12-15</t>
  </si>
  <si>
    <t>CZECHIA</t>
  </si>
  <si>
    <t>mistral-community/mixtral-8x22B-v0.3</t>
  </si>
  <si>
    <t>mistral-medium-latest</t>
  </si>
  <si>
    <t>gpt-4o-mini-tts</t>
  </si>
  <si>
    <t>DEMOCRATIC_REPUBLIC_OF_CONGO</t>
  </si>
  <si>
    <t>mistral-community/Mistral-7B-Instruct-v0.3</t>
  </si>
  <si>
    <t>mistral-small-2506</t>
  </si>
  <si>
    <t>gpt-4o-mini-tts-2025-03-20</t>
  </si>
  <si>
    <t>DENMARK</t>
  </si>
  <si>
    <t>mistral-community/Codestral-22B-v0.1</t>
  </si>
  <si>
    <t>mistral-small-2603</t>
  </si>
  <si>
    <t>gpt-4o-mini-tts-2025-12-15</t>
  </si>
  <si>
    <t>DOMINICAN_REPUBLIC</t>
  </si>
  <si>
    <t>meta-llama/Meta-Llama-3.1-8B</t>
  </si>
  <si>
    <t>mistral-small-latest</t>
  </si>
  <si>
    <t>gpt-4o-search-preview</t>
  </si>
  <si>
    <t>ECUADOR</t>
  </si>
  <si>
    <t>meta-llama/Meta-Llama-3.1-8B-Instruct</t>
  </si>
  <si>
    <t>mistral-tiny-2407</t>
  </si>
  <si>
    <t>gpt-4o-search-preview-2025-03-11</t>
  </si>
  <si>
    <t>EGYPT</t>
  </si>
  <si>
    <t>meta-llama/Meta-Llama-3.1-70B</t>
  </si>
  <si>
    <t>mistral-tiny-latest</t>
  </si>
  <si>
    <t>gpt-5</t>
  </si>
  <si>
    <t>EL_SALVADOR</t>
  </si>
  <si>
    <t>meta-llama/Meta-Llama-3.1-70B-Instruct</t>
  </si>
  <si>
    <t>open-mistral-7b</t>
  </si>
  <si>
    <t>gpt-5-2025-08-07</t>
  </si>
  <si>
    <t>ETHIOPIA</t>
  </si>
  <si>
    <t>meta-llama/Meta-Llama-3.1-405B</t>
  </si>
  <si>
    <t>open-mistral-nemo</t>
  </si>
  <si>
    <t>gpt-5-chat-latest</t>
  </si>
  <si>
    <t>FINLAND</t>
  </si>
  <si>
    <t>meta-llama/Meta-Llama-3.1-405B-Instruct</t>
  </si>
  <si>
    <t>open-mistral-nemo-2407</t>
  </si>
  <si>
    <t>gpt-5-codex</t>
  </si>
  <si>
    <t>meta-llama/Meta-Llama-3.1-405B-FP8</t>
  </si>
  <si>
    <t>pixtral-12b</t>
  </si>
  <si>
    <t>gpt-5-mini</t>
  </si>
  <si>
    <t>GERMANY</t>
  </si>
  <si>
    <t>meta-llama/Meta-Llama-3.1-405B-Instruct-FP8</t>
  </si>
  <si>
    <t>pixtral-12b-2409</t>
  </si>
  <si>
    <t>gpt-5-mini-2025-08-07</t>
  </si>
  <si>
    <t>GHANA</t>
  </si>
  <si>
    <t>meta-llama/Llama-Guard-3-8B</t>
  </si>
  <si>
    <t>pixtral-12b-latest</t>
  </si>
  <si>
    <t>gpt-5-nano</t>
  </si>
  <si>
    <t>GREECE</t>
  </si>
  <si>
    <t>meta-llama/Llama-Guard-3-8B-INT8</t>
  </si>
  <si>
    <t>voxtral-mini-2507</t>
  </si>
  <si>
    <t>gpt-5-nano-2025-08-07</t>
  </si>
  <si>
    <t>GUATEMALA</t>
  </si>
  <si>
    <t>meta-llama/Prompt-Guard-86M</t>
  </si>
  <si>
    <t>voxtral-mini-2509</t>
  </si>
  <si>
    <t>gpt-5-pro</t>
  </si>
  <si>
    <t>GUINEA</t>
  </si>
  <si>
    <t>meta-llama/Meta-Llama-3-8B</t>
  </si>
  <si>
    <t>voxtral-mini-2602</t>
  </si>
  <si>
    <t>gpt-5-pro-2025-10-06</t>
  </si>
  <si>
    <t>HAITI</t>
  </si>
  <si>
    <t>meta-llama/Meta-Llama-3-8B-Instruct</t>
  </si>
  <si>
    <t>voxtral-mini-latest</t>
  </si>
  <si>
    <t>gpt-5-search-api</t>
  </si>
  <si>
    <t>HONDURAS</t>
  </si>
  <si>
    <t>meta-llama/Meta-Llama-3-70B-Instruct</t>
  </si>
  <si>
    <t>voxtral-small-2507</t>
  </si>
  <si>
    <t>gpt-5-search-api-2025-10-14</t>
  </si>
  <si>
    <t>HONG_KONG</t>
  </si>
  <si>
    <t>meta-llama/Meta-Llama-3-70B</t>
  </si>
  <si>
    <t>voxtral-small-latest</t>
  </si>
  <si>
    <t>gpt-5.1</t>
  </si>
  <si>
    <t>HUNGARY</t>
  </si>
  <si>
    <t>meta-llama/Meta-Llama-Guard-2-8B</t>
  </si>
  <si>
    <t>gpt-5.1-2025-11-13</t>
  </si>
  <si>
    <t>INDIA</t>
  </si>
  <si>
    <t>meta-llama/Llama-2-7b-hf</t>
  </si>
  <si>
    <t>gpt-5.1-chat-latest</t>
  </si>
  <si>
    <t>INDONESIA</t>
  </si>
  <si>
    <t>meta-llama/Llama-2-13b-hf</t>
  </si>
  <si>
    <t>gpt-5.1-codex</t>
  </si>
  <si>
    <t>IRAN</t>
  </si>
  <si>
    <t>meta-llama/Llama-2-70b-hf</t>
  </si>
  <si>
    <t>gpt-5.1-codex-max</t>
  </si>
  <si>
    <t>IRAQ</t>
  </si>
  <si>
    <t>meta-llama/Llama-2-7b-chat-hf</t>
  </si>
  <si>
    <t>gpt-5.1-codex-mini</t>
  </si>
  <si>
    <t>IRELAND</t>
  </si>
  <si>
    <t>meta-llama/Llama-2-13b-chat-hf</t>
  </si>
  <si>
    <t>gpt-5.2</t>
  </si>
  <si>
    <t>ISRAEL</t>
  </si>
  <si>
    <t>meta-llama/Llama-2-70b-chat-hf</t>
  </si>
  <si>
    <t>gpt-5.2-2025-12-11</t>
  </si>
  <si>
    <t>ITALY</t>
  </si>
  <si>
    <t>meta-llama/Llama-2-7b</t>
  </si>
  <si>
    <t>gpt-5.2-chat-latest</t>
  </si>
  <si>
    <t>JAPAN</t>
  </si>
  <si>
    <t>meta-llama/Llama-2-13b</t>
  </si>
  <si>
    <t>gpt-5.2-codex</t>
  </si>
  <si>
    <t>JORDAN</t>
  </si>
  <si>
    <t>meta-llama/Llama-2-70b</t>
  </si>
  <si>
    <t>gpt-5.2-pro</t>
  </si>
  <si>
    <t>KAZAKHSTAN</t>
  </si>
  <si>
    <t>meta-llama/Llama-2-7b-chat</t>
  </si>
  <si>
    <t>gpt-5.2-pro-2025-12-11</t>
  </si>
  <si>
    <t>KENYA</t>
  </si>
  <si>
    <t>meta-llama/Llama-2-13b-chat</t>
  </si>
  <si>
    <t>gpt-5.3-chat-latest</t>
  </si>
  <si>
    <t>KYRGYZSTAN</t>
  </si>
  <si>
    <t>meta-llama/Llama-2-70b-chat</t>
  </si>
  <si>
    <t>gpt-5.3-codex</t>
  </si>
  <si>
    <t>LAOS</t>
  </si>
  <si>
    <t>meta-llama/LlamaGuard-7b</t>
  </si>
  <si>
    <t>gpt-5.4</t>
  </si>
  <si>
    <t>LEBANON</t>
  </si>
  <si>
    <t>meta-llama/CodeLlama-7b-hf</t>
  </si>
  <si>
    <t>gpt-5.4-2026-03-05</t>
  </si>
  <si>
    <t>LIBERIA</t>
  </si>
  <si>
    <t>meta-llama/CodeLlama-13b-hf</t>
  </si>
  <si>
    <t>gpt-5.4-mini</t>
  </si>
  <si>
    <t>LIBYA</t>
  </si>
  <si>
    <t>meta-llama/CodeLlama-34b-hf</t>
  </si>
  <si>
    <t>gpt-5.4-mini-2026-03-17</t>
  </si>
  <si>
    <t>MADAGASCAR</t>
  </si>
  <si>
    <t>meta-llama/CodeLlama-70b-hf</t>
  </si>
  <si>
    <t>gpt-5.4-nano</t>
  </si>
  <si>
    <t>MALAWI</t>
  </si>
  <si>
    <t>meta-llama/CodeLlama-7b-Python-hf</t>
  </si>
  <si>
    <t>gpt-5.4-nano-2026-03-17</t>
  </si>
  <si>
    <t>MALAYSIA</t>
  </si>
  <si>
    <t>meta-llama/CodeLlama-34b-Python-hf</t>
  </si>
  <si>
    <t>gpt-5.4-pro</t>
  </si>
  <si>
    <t>MALI</t>
  </si>
  <si>
    <t>meta-llama/CodeLlama-13b-Python-hf</t>
  </si>
  <si>
    <t>gpt-5.4-pro-2026-03-05</t>
  </si>
  <si>
    <t>MAURITANIA</t>
  </si>
  <si>
    <t>meta-llama/CodeLlama-70b-Python-hf</t>
  </si>
  <si>
    <t>gpt-5.5</t>
  </si>
  <si>
    <t>MEXICO</t>
  </si>
  <si>
    <t>meta-llama/CodeLlama-7b-Instruct-hf</t>
  </si>
  <si>
    <t>gpt-5.5-2026-04-23</t>
  </si>
  <si>
    <t>MOROCCO</t>
  </si>
  <si>
    <t>meta-llama/CodeLlama-13b-Instruct-hf</t>
  </si>
  <si>
    <t>gpt-5.5-pro</t>
  </si>
  <si>
    <t>MOZAMBIQUE</t>
  </si>
  <si>
    <t>meta-llama/CodeLlama-34b-Instruct-hf</t>
  </si>
  <si>
    <t>gpt-5.5-pro-2026-04-23</t>
  </si>
  <si>
    <t>MYANMAR</t>
  </si>
  <si>
    <t>meta-llama/CodeLlama-70b-Instruct-hf</t>
  </si>
  <si>
    <t>o1</t>
  </si>
  <si>
    <t>NEPAL</t>
  </si>
  <si>
    <t>CohereForAI/aya-23-8B</t>
  </si>
  <si>
    <t>o1-2024-12-17</t>
  </si>
  <si>
    <t>NETHERLANDS</t>
  </si>
  <si>
    <t>CohereForAI/aya-23-35B</t>
  </si>
  <si>
    <t>o3-mini</t>
  </si>
  <si>
    <t>NEW_ZEALAND</t>
  </si>
  <si>
    <t>CohereForAI/c4ai-command-r-plus</t>
  </si>
  <si>
    <t>o3-mini-2025-01-31</t>
  </si>
  <si>
    <t>NICARAGUA</t>
  </si>
  <si>
    <t>CohereForAI/c4ai-command-r-plus-4bit</t>
  </si>
  <si>
    <t>o4-mini</t>
  </si>
  <si>
    <t>NIGER</t>
  </si>
  <si>
    <t>CohereForAI/c4ai-command-r-v01</t>
  </si>
  <si>
    <t>o4-mini-2025-04-16</t>
  </si>
  <si>
    <t>NIGERIA</t>
  </si>
  <si>
    <t>CohereForAI/c4ai-command-r-v01-4bit</t>
  </si>
  <si>
    <t>o4-mini-deep-research</t>
  </si>
  <si>
    <t>NORTH_KOREA</t>
  </si>
  <si>
    <t>google/gemma-2-2b</t>
  </si>
  <si>
    <t>o4-mini-deep-research-2025-06-26</t>
  </si>
  <si>
    <t>NORWAY</t>
  </si>
  <si>
    <t>google/gemma-2-2b-it</t>
  </si>
  <si>
    <t>gpt-35-turbo</t>
  </si>
  <si>
    <t>OMAN</t>
  </si>
  <si>
    <t>google/gemma-2-9b</t>
  </si>
  <si>
    <t>gpt-35-turbo-0125</t>
  </si>
  <si>
    <t>PAKISTAN</t>
  </si>
  <si>
    <t>google/gemma-2-9b-it</t>
  </si>
  <si>
    <t>gpt-35-turbo-1106</t>
  </si>
  <si>
    <t>PALESTINE</t>
  </si>
  <si>
    <t>google/gemma-2-27b</t>
  </si>
  <si>
    <t>gpt-35-turbo-16k</t>
  </si>
  <si>
    <t>PAPUA_NEW_GUINEA</t>
  </si>
  <si>
    <t>google/gemma-2-27b-it</t>
  </si>
  <si>
    <t>gpt-35-turbo-instruct-0914</t>
  </si>
  <si>
    <t>PARAGUAY</t>
  </si>
  <si>
    <t>google/gemma-2-2b-pytorch</t>
  </si>
  <si>
    <t>gpt-35-turbo-instruct</t>
  </si>
  <si>
    <t>PERU</t>
  </si>
  <si>
    <t>google/gemma-2-2b-it-pytorch</t>
  </si>
  <si>
    <t>PHILIPPINES</t>
  </si>
  <si>
    <t>google/gemma-2-9b-pytorch</t>
  </si>
  <si>
    <t>POLAND</t>
  </si>
  <si>
    <t>google/gemma-2-9b-it-pytorch</t>
  </si>
  <si>
    <t>PORTUGAL</t>
  </si>
  <si>
    <t>google/gemma-2-27b-pytorch</t>
  </si>
  <si>
    <t>ROMANIA</t>
  </si>
  <si>
    <t>google/gemma-2-27b-it-pytorch</t>
  </si>
  <si>
    <t>RUSSIA</t>
  </si>
  <si>
    <t>google/gemma-2-9b-keras</t>
  </si>
  <si>
    <t>RWANDA</t>
  </si>
  <si>
    <t>google/gemma-2-instruct-9b-keras</t>
  </si>
  <si>
    <t>SAUDI_ARABIA</t>
  </si>
  <si>
    <t>google/codegemma-2b</t>
  </si>
  <si>
    <t>SENEGAL</t>
  </si>
  <si>
    <t>google/codegemma-7b</t>
  </si>
  <si>
    <t>SERBIA</t>
  </si>
  <si>
    <t>google/codegemma-7b-it</t>
  </si>
  <si>
    <t>SIERRA_LEONE</t>
  </si>
  <si>
    <t>google/codegemma-7b-it-GGUF</t>
  </si>
  <si>
    <t>SINGAPORE</t>
  </si>
  <si>
    <t>google/codegemma-2b-GGUF</t>
  </si>
  <si>
    <t>SLOVAKIA</t>
  </si>
  <si>
    <t>google/codegemma-7b-GGUF</t>
  </si>
  <si>
    <t>SOMALIA</t>
  </si>
  <si>
    <t>google/codegemma-7b-pytorch</t>
  </si>
  <si>
    <t>SOUTH_AFRICA</t>
  </si>
  <si>
    <t>google/codegemma-2b-pytorch</t>
  </si>
  <si>
    <t>SOUTH_KOREA</t>
  </si>
  <si>
    <t>google/codegemma-7b-it-pytorch</t>
  </si>
  <si>
    <t>SOUTH_SUDAN</t>
  </si>
  <si>
    <t>google/codegemma-2b-keras</t>
  </si>
  <si>
    <t>SPAIN</t>
  </si>
  <si>
    <t>google/codegemma-7b-keras</t>
  </si>
  <si>
    <t>SRI_LANKA</t>
  </si>
  <si>
    <t>google/codegemma-7b-it-keras</t>
  </si>
  <si>
    <t>SUDAN</t>
  </si>
  <si>
    <t>google/codegemma-1.1-7b-it</t>
  </si>
  <si>
    <t>SWEDEN</t>
  </si>
  <si>
    <t>google/codegemma-1.1-2b</t>
  </si>
  <si>
    <t>SWITZERLAND</t>
  </si>
  <si>
    <t>google/codegemma-1.1-2b-pytorch</t>
  </si>
  <si>
    <t>SYRIA</t>
  </si>
  <si>
    <t>google/codegemma-1.1-7b-it-pytorch</t>
  </si>
  <si>
    <t>TAJIKISTAN</t>
  </si>
  <si>
    <t>google/codegemma-1.1-2b-GGUF</t>
  </si>
  <si>
    <t>TANZANIA</t>
  </si>
  <si>
    <t>google/codegemma-1.1-7b-it-GGUF</t>
  </si>
  <si>
    <t>THAILAND</t>
  </si>
  <si>
    <t>google/gemma-1.1-2b-it</t>
  </si>
  <si>
    <t>TOGO</t>
  </si>
  <si>
    <t>google/gemma-1.1-7b-it</t>
  </si>
  <si>
    <t>TUNISIA</t>
  </si>
  <si>
    <t>google/gemma-1.1-7b-it-GGUF</t>
  </si>
  <si>
    <t>TURKEY</t>
  </si>
  <si>
    <t>google/gemma-1.1-2b-it-GGUF</t>
  </si>
  <si>
    <t>TURKMENISTAN</t>
  </si>
  <si>
    <t>google/gemma-1.1-2b-it-pytorch</t>
  </si>
  <si>
    <t>UGANDA</t>
  </si>
  <si>
    <t>google/gemma-1.1-7b-it-pytorch</t>
  </si>
  <si>
    <t>UKRAINE</t>
  </si>
  <si>
    <t>google/gemma-7b</t>
  </si>
  <si>
    <t>UNITED_ARAB_EMIRATES</t>
  </si>
  <si>
    <t>google/gemma-7b-it</t>
  </si>
  <si>
    <t>UNITED_KINGDOM</t>
  </si>
  <si>
    <t>google/gemma-2b</t>
  </si>
  <si>
    <t>UNITED_STATES</t>
  </si>
  <si>
    <t>google/gemma-2b-it</t>
  </si>
  <si>
    <t>UZBEKISTAN</t>
  </si>
  <si>
    <t>google/gemma-7b-it-GGUF</t>
  </si>
  <si>
    <t>VENEZUELA</t>
  </si>
  <si>
    <t>google/gemma-7b-GGUF</t>
  </si>
  <si>
    <t>VIETNAM</t>
  </si>
  <si>
    <t>google/gemma-2b-GGUF</t>
  </si>
  <si>
    <t>YEMEN</t>
  </si>
  <si>
    <t>google/gemma-2b-it-GGUF</t>
  </si>
  <si>
    <t>ZAMBIA</t>
  </si>
  <si>
    <t>google/gemma-7b-it-pytorch</t>
  </si>
  <si>
    <t>ZIMBABWE</t>
  </si>
  <si>
    <t>google/gemma-7b-pytorch</t>
  </si>
  <si>
    <t>google/gemma-2b-pytorch</t>
  </si>
  <si>
    <t>google/gemma-7b-quant-pytorch</t>
  </si>
  <si>
    <t>google/gemma-7b-it-quant-pytorch</t>
  </si>
  <si>
    <t>google/gemma-2b-it-pytorch</t>
  </si>
  <si>
    <t>google/gemma-7b-flax</t>
  </si>
  <si>
    <t>google/gemma-7b-it-flax</t>
  </si>
  <si>
    <t>google/gemma-2b-flax</t>
  </si>
  <si>
    <t>google/gemma-2b-it-flax</t>
  </si>
  <si>
    <t>google/gemma-2b-it-keras</t>
  </si>
  <si>
    <t>google/gemma-7b-keras</t>
  </si>
  <si>
    <t>google/gemma-2b-keras</t>
  </si>
  <si>
    <t>google/gemma-7b-it-keras</t>
  </si>
  <si>
    <t>google/gemma-2b-sfp-cpp</t>
  </si>
  <si>
    <t>google/gemma-2b-it-cpp</t>
  </si>
  <si>
    <t>google/gemma-7b-sfp-cpp</t>
  </si>
  <si>
    <t>google/gemma-7b-cpp</t>
  </si>
  <si>
    <t>google/gemma-7b-it-cpp</t>
  </si>
  <si>
    <t>google/gemma-7b-it-sfp-cpp</t>
  </si>
  <si>
    <t>google/gemma-2b-it-sfp-cpp</t>
  </si>
  <si>
    <t>google/gemma-2b-cpp</t>
  </si>
  <si>
    <t>google/gemma-1.1-2b-it-keras</t>
  </si>
  <si>
    <t>google/gemma-1.1-7b-it-keras</t>
  </si>
  <si>
    <t>google/gemma-1.1-2b-it-tflite</t>
  </si>
  <si>
    <t>google/gemma-2b-it-tflite</t>
  </si>
  <si>
    <t>microsoft/phi-1</t>
  </si>
  <si>
    <t>microsoft/phi-1_5</t>
  </si>
  <si>
    <t>microsoft/Phi-3-mini-4k-instruct</t>
  </si>
  <si>
    <t>microsoft/Phi-3-mini-128k-instruct</t>
  </si>
  <si>
    <t>microsoft/Phi-3-small-8k-instruct</t>
  </si>
  <si>
    <t>microsoft/Phi-3-small-128k-instruct</t>
  </si>
  <si>
    <t>microsoft/Phi-3-medium-4k-instruct</t>
  </si>
  <si>
    <t>microsoft/Phi-3-medium-128k-instruct</t>
  </si>
  <si>
    <t>microsoft/Phi-3-vision-128k-instruct</t>
  </si>
  <si>
    <t>microsoft/Phi-3-mini-4k-instruct-onnx</t>
  </si>
  <si>
    <t>microsoft/Phi-3-mini-4k-instruct-onnx-web</t>
  </si>
  <si>
    <t>microsoft/Phi-3-mini-128k-instruct-onnx</t>
  </si>
  <si>
    <t>microsoft/Phi-3-small-8k-instruct-onnx-cuda</t>
  </si>
  <si>
    <t>microsoft/Phi-3-small-128k-instruct-onnx-cuda</t>
  </si>
  <si>
    <t>microsoft/Phi-3-medium-4k-instruct-onnx-cpu</t>
  </si>
  <si>
    <t>microsoft/Phi-3-medium-4k-instruct-onnx-cuda</t>
  </si>
  <si>
    <t>microsoft/Phi-3-medium-4k-instruct-onnx-directml</t>
  </si>
  <si>
    <t>microsoft/Phi-3-medium-128k-instruct-onnx-cpu</t>
  </si>
  <si>
    <t>microsoft/Phi-3-medium-128k-instruct-onnx-cuda</t>
  </si>
  <si>
    <t>microsoft/Phi-3-medium-128k-instruct-onnx-directml</t>
  </si>
  <si>
    <t>microsoft/Phi-3-vision-128k-instruct-onnx-cpu</t>
  </si>
  <si>
    <t>microsoft/Phi-3-vision-128k-instruct-onnx-cuda</t>
  </si>
  <si>
    <t>microsoft/Phi-3-vision-128k-instruct-onnx-directml</t>
  </si>
  <si>
    <t>microsoft/Phi-3-mini-4k-instruct-gguf</t>
  </si>
  <si>
    <t>openai/gpt-oss-120b</t>
  </si>
  <si>
    <t>openai/gpt-oss-20b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</si>
</sst>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color rgb="FF808080"/>
      <name val="Arial"/>
      <family val="2"/>
    </font>
    <font>
      <sz val="11"/>
      <color rgb="FF0000FF"/>
      <name val="Arial"/>
      <family val="2"/>
    </font>
    <font>
      <b/>
      <sz val="11"/>
      <color rgb="FF1F4E78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0" borderId="0" xfId="0" applyFont="1"/>
    <xf numFmtId="0" fontId="7" fillId="4" borderId="0" xfId="0" applyFont="1" applyFill="1"/>
    <xf numFmtId="0" fontId="3" fillId="0" borderId="1" xfId="0" applyFont="1" applyBorder="1"/>
    <xf numFmtId="0" fontId="4" fillId="0" borderId="1" xfId="0" applyFont="1" applyBorder="1"/>
    <xf numFmtId="0" fontId="6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8" fillId="2" borderId="0" xfId="0" applyFont="1" applyFill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15"/>
  <sheetViews>
    <sheetView showGridLines="0" topLeftCell="A5" zoomScaleNormal="100" workbookViewId="0">
      <selection activeCell="A20" sqref="A20"/>
    </sheetView>
  </sheetViews>
  <sheetFormatPr baseColWidth="10" defaultColWidth="8.6640625" defaultRowHeight="16" x14ac:dyDescent="0.2"/>
  <cols>
    <col min="1" max="1" width="119" style="13" customWidth="1"/>
    <col min="2" max="16384" width="8.6640625" style="13"/>
  </cols>
  <sheetData>
    <row r="1" spans="1:1" ht="21.75" customHeight="1" x14ac:dyDescent="0.2">
      <c r="A1" s="12" t="s">
        <v>0</v>
      </c>
    </row>
    <row r="2" spans="1:1" ht="7.5" customHeight="1" x14ac:dyDescent="0.2">
      <c r="A2" s="14"/>
    </row>
    <row r="3" spans="1:1" ht="33.75" customHeight="1" x14ac:dyDescent="0.2">
      <c r="A3" s="15" t="s">
        <v>1</v>
      </c>
    </row>
    <row r="4" spans="1:1" ht="7.5" customHeight="1" x14ac:dyDescent="0.2">
      <c r="A4" s="14"/>
    </row>
    <row r="5" spans="1:1" ht="21.75" customHeight="1" x14ac:dyDescent="0.2">
      <c r="A5" s="15" t="s">
        <v>2</v>
      </c>
    </row>
    <row r="6" spans="1:1" ht="55" customHeight="1" x14ac:dyDescent="0.2">
      <c r="A6" s="14" t="s">
        <v>3</v>
      </c>
    </row>
    <row r="7" spans="1:1" ht="32" customHeight="1" x14ac:dyDescent="0.2">
      <c r="A7" s="14"/>
    </row>
    <row r="8" spans="1:1" ht="21.75" customHeight="1" x14ac:dyDescent="0.2">
      <c r="A8" s="15" t="s">
        <v>4</v>
      </c>
    </row>
    <row r="9" spans="1:1" ht="72" customHeight="1" x14ac:dyDescent="0.2">
      <c r="A9" s="14" t="s">
        <v>5</v>
      </c>
    </row>
    <row r="10" spans="1:1" ht="48" customHeight="1" x14ac:dyDescent="0.2">
      <c r="A10" s="14" t="s">
        <v>6</v>
      </c>
    </row>
    <row r="11" spans="1:1" ht="33.75" customHeight="1" x14ac:dyDescent="0.2">
      <c r="A11" s="14" t="s">
        <v>7</v>
      </c>
    </row>
    <row r="12" spans="1:1" ht="7.5" customHeight="1" x14ac:dyDescent="0.2">
      <c r="A12" s="14"/>
    </row>
    <row r="13" spans="1:1" ht="21.75" customHeight="1" x14ac:dyDescent="0.2">
      <c r="A13" s="15" t="s">
        <v>8</v>
      </c>
    </row>
    <row r="14" spans="1:1" ht="33.75" customHeight="1" x14ac:dyDescent="0.2">
      <c r="A14" s="14" t="s">
        <v>9</v>
      </c>
    </row>
    <row r="15" spans="1:1" ht="33.75" customHeight="1" x14ac:dyDescent="0.2">
      <c r="A15" s="14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I13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40" customWidth="1"/>
    <col min="4" max="5" width="26" customWidth="1"/>
    <col min="6" max="6" width="16" customWidth="1"/>
    <col min="7" max="7" width="20" customWidth="1"/>
    <col min="8" max="8" width="18" customWidth="1"/>
    <col min="9" max="9" width="30" customWidth="1"/>
  </cols>
  <sheetData>
    <row r="1" spans="1:9" ht="45" customHeight="1" x14ac:dyDescent="0.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8</v>
      </c>
    </row>
    <row r="2" spans="1:9" ht="30" x14ac:dyDescent="0.2">
      <c r="A2" s="3" t="s">
        <v>19</v>
      </c>
      <c r="B2" s="3" t="s">
        <v>20</v>
      </c>
      <c r="C2" s="3" t="str">
        <f t="shared" ref="C2:C13" si="0">IFERROR(VLOOKUP($B2,text_provider_examples_map,2,FALSE()),"")</f>
        <v>gpt-4o, gpt-4.1, gpt-5</v>
      </c>
      <c r="D2" s="3" t="s">
        <v>21</v>
      </c>
      <c r="E2" s="3" t="s">
        <v>22</v>
      </c>
      <c r="F2" s="3">
        <f t="shared" ref="F2:F13" si="1">IFERROR(VLOOKUP($E2,reply_length_tokens_map,2,FALSE()),"")</f>
        <v>40</v>
      </c>
      <c r="G2" s="3">
        <v>50</v>
      </c>
      <c r="H2" s="3">
        <v>1</v>
      </c>
      <c r="I2" s="3" t="s">
        <v>23</v>
      </c>
    </row>
    <row r="3" spans="1:9" x14ac:dyDescent="0.2">
      <c r="A3" s="4"/>
      <c r="B3" s="4"/>
      <c r="C3" s="3" t="str">
        <f t="shared" si="0"/>
        <v/>
      </c>
      <c r="D3" s="4"/>
      <c r="E3" s="4"/>
      <c r="F3" s="3" t="str">
        <f t="shared" si="1"/>
        <v/>
      </c>
      <c r="G3" s="4"/>
      <c r="H3" s="4"/>
      <c r="I3" s="4"/>
    </row>
    <row r="4" spans="1:9" x14ac:dyDescent="0.2">
      <c r="A4" s="4"/>
      <c r="B4" s="4"/>
      <c r="C4" s="3" t="str">
        <f t="shared" si="0"/>
        <v/>
      </c>
      <c r="D4" s="4"/>
      <c r="E4" s="4"/>
      <c r="F4" s="3" t="str">
        <f t="shared" si="1"/>
        <v/>
      </c>
      <c r="G4" s="4"/>
      <c r="H4" s="4"/>
      <c r="I4" s="4"/>
    </row>
    <row r="5" spans="1:9" x14ac:dyDescent="0.2">
      <c r="A5" s="4"/>
      <c r="B5" s="4"/>
      <c r="C5" s="3" t="str">
        <f t="shared" si="0"/>
        <v/>
      </c>
      <c r="D5" s="4"/>
      <c r="E5" s="4"/>
      <c r="F5" s="3" t="str">
        <f t="shared" si="1"/>
        <v/>
      </c>
      <c r="G5" s="4"/>
      <c r="H5" s="4"/>
      <c r="I5" s="4"/>
    </row>
    <row r="6" spans="1:9" x14ac:dyDescent="0.2">
      <c r="A6" s="4"/>
      <c r="B6" s="4"/>
      <c r="C6" s="3" t="str">
        <f t="shared" si="0"/>
        <v/>
      </c>
      <c r="D6" s="4"/>
      <c r="E6" s="4"/>
      <c r="F6" s="3" t="str">
        <f t="shared" si="1"/>
        <v/>
      </c>
      <c r="G6" s="4"/>
      <c r="H6" s="4"/>
      <c r="I6" s="4"/>
    </row>
    <row r="7" spans="1:9" x14ac:dyDescent="0.2">
      <c r="A7" s="4"/>
      <c r="B7" s="4"/>
      <c r="C7" s="3" t="str">
        <f t="shared" si="0"/>
        <v/>
      </c>
      <c r="D7" s="4"/>
      <c r="E7" s="4"/>
      <c r="F7" s="3" t="str">
        <f t="shared" si="1"/>
        <v/>
      </c>
      <c r="G7" s="4"/>
      <c r="H7" s="4"/>
      <c r="I7" s="4"/>
    </row>
    <row r="8" spans="1:9" x14ac:dyDescent="0.2">
      <c r="A8" s="4"/>
      <c r="B8" s="4"/>
      <c r="C8" s="3" t="str">
        <f t="shared" si="0"/>
        <v/>
      </c>
      <c r="D8" s="4"/>
      <c r="E8" s="4"/>
      <c r="F8" s="3" t="str">
        <f t="shared" si="1"/>
        <v/>
      </c>
      <c r="G8" s="4"/>
      <c r="H8" s="4"/>
      <c r="I8" s="4"/>
    </row>
    <row r="9" spans="1:9" x14ac:dyDescent="0.2">
      <c r="A9" s="4"/>
      <c r="B9" s="4"/>
      <c r="C9" s="3" t="str">
        <f t="shared" si="0"/>
        <v/>
      </c>
      <c r="D9" s="4"/>
      <c r="E9" s="4"/>
      <c r="F9" s="3" t="str">
        <f t="shared" si="1"/>
        <v/>
      </c>
      <c r="G9" s="4"/>
      <c r="H9" s="4"/>
      <c r="I9" s="4"/>
    </row>
    <row r="10" spans="1:9" x14ac:dyDescent="0.2">
      <c r="A10" s="4"/>
      <c r="B10" s="4"/>
      <c r="C10" s="3" t="str">
        <f t="shared" si="0"/>
        <v/>
      </c>
      <c r="D10" s="4"/>
      <c r="E10" s="4"/>
      <c r="F10" s="3" t="str">
        <f t="shared" si="1"/>
        <v/>
      </c>
      <c r="G10" s="4"/>
      <c r="H10" s="4"/>
      <c r="I10" s="4"/>
    </row>
    <row r="11" spans="1:9" x14ac:dyDescent="0.2">
      <c r="A11" s="4"/>
      <c r="B11" s="4"/>
      <c r="C11" s="3" t="str">
        <f t="shared" si="0"/>
        <v/>
      </c>
      <c r="D11" s="4"/>
      <c r="E11" s="4"/>
      <c r="F11" s="3" t="str">
        <f t="shared" si="1"/>
        <v/>
      </c>
      <c r="G11" s="4"/>
      <c r="H11" s="4"/>
      <c r="I11" s="4"/>
    </row>
    <row r="12" spans="1:9" x14ac:dyDescent="0.2">
      <c r="A12" s="4"/>
      <c r="B12" s="4"/>
      <c r="C12" s="3" t="str">
        <f t="shared" si="0"/>
        <v/>
      </c>
      <c r="D12" s="4"/>
      <c r="E12" s="4"/>
      <c r="F12" s="3" t="str">
        <f t="shared" si="1"/>
        <v/>
      </c>
      <c r="G12" s="4"/>
      <c r="H12" s="4"/>
      <c r="I12" s="4"/>
    </row>
    <row r="13" spans="1:9" x14ac:dyDescent="0.2">
      <c r="A13" s="4"/>
      <c r="B13" s="4"/>
      <c r="C13" s="3" t="str">
        <f t="shared" si="0"/>
        <v/>
      </c>
      <c r="D13" s="4"/>
      <c r="E13" s="4"/>
      <c r="F13" s="3" t="str">
        <f t="shared" si="1"/>
        <v/>
      </c>
      <c r="G13" s="4"/>
      <c r="H13" s="4"/>
      <c r="I13" s="4"/>
    </row>
  </sheetData>
  <dataValidations count="3">
    <dataValidation type="list" allowBlank="1" sqref="B3:B13" xr:uid="{00000000-0002-0000-0100-000000000000}">
      <formula1>text_providers</formula1>
      <formula2>0</formula2>
    </dataValidation>
    <dataValidation type="list" allowBlank="1" sqref="E3:E13" xr:uid="{00000000-0002-0000-0100-000001000000}">
      <formula1>reply_length_labels_list</formula1>
      <formula2>0</formula2>
    </dataValidation>
    <dataValidation type="list" allowBlank="1" errorTitle="Choose provider first" error="Pick a Provider in this row first." sqref="D3:D13" xr:uid="{00000000-0002-0000-0100-000002000000}">
      <formula1>INDIRECT("models_text_"&amp;$B3)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C18"/>
  <sheetViews>
    <sheetView showGridLines="0" tabSelected="1" zoomScaleNormal="100" workbookViewId="0">
      <selection activeCell="I7" sqref="I7"/>
    </sheetView>
  </sheetViews>
  <sheetFormatPr baseColWidth="10" defaultColWidth="8.6640625" defaultRowHeight="15" x14ac:dyDescent="0.2"/>
  <cols>
    <col min="1" max="1" width="46" customWidth="1"/>
    <col min="2" max="2" width="22" customWidth="1"/>
    <col min="3" max="3" width="55" customWidth="1"/>
  </cols>
  <sheetData>
    <row r="1" spans="1:3" ht="21.75" customHeight="1" x14ac:dyDescent="0.2">
      <c r="A1" s="1" t="s">
        <v>33</v>
      </c>
      <c r="B1" s="1"/>
      <c r="C1" s="1"/>
    </row>
    <row r="3" spans="1:3" x14ac:dyDescent="0.2">
      <c r="A3" s="5" t="s">
        <v>34</v>
      </c>
    </row>
    <row r="4" spans="1:3" x14ac:dyDescent="0.2">
      <c r="A4" s="6" t="s">
        <v>35</v>
      </c>
      <c r="B4" s="6" t="s">
        <v>36</v>
      </c>
      <c r="C4" s="6" t="s">
        <v>37</v>
      </c>
    </row>
    <row r="5" spans="1:3" x14ac:dyDescent="0.2">
      <c r="A5" s="7" t="s">
        <v>22</v>
      </c>
      <c r="B5" s="7" t="s">
        <v>38</v>
      </c>
      <c r="C5" s="3" t="s">
        <v>39</v>
      </c>
    </row>
    <row r="6" spans="1:3" x14ac:dyDescent="0.2">
      <c r="A6" s="7" t="s">
        <v>40</v>
      </c>
      <c r="B6" s="7" t="s">
        <v>41</v>
      </c>
      <c r="C6" s="3" t="s">
        <v>42</v>
      </c>
    </row>
    <row r="7" spans="1:3" x14ac:dyDescent="0.2">
      <c r="A7" s="7" t="s">
        <v>43</v>
      </c>
      <c r="B7" s="7" t="s">
        <v>44</v>
      </c>
      <c r="C7" s="3" t="s">
        <v>45</v>
      </c>
    </row>
    <row r="8" spans="1:3" x14ac:dyDescent="0.2">
      <c r="A8" s="7" t="s">
        <v>46</v>
      </c>
      <c r="B8" s="7" t="s">
        <v>47</v>
      </c>
      <c r="C8" s="3" t="s">
        <v>48</v>
      </c>
    </row>
    <row r="9" spans="1:3" x14ac:dyDescent="0.2">
      <c r="A9" s="7" t="s">
        <v>49</v>
      </c>
      <c r="B9" s="7" t="s">
        <v>50</v>
      </c>
      <c r="C9" s="3" t="s">
        <v>51</v>
      </c>
    </row>
    <row r="11" spans="1:3" x14ac:dyDescent="0.2">
      <c r="A11" s="5" t="s">
        <v>52</v>
      </c>
    </row>
    <row r="12" spans="1:3" ht="30" x14ac:dyDescent="0.2">
      <c r="A12" s="8" t="s">
        <v>53</v>
      </c>
      <c r="B12" s="9">
        <v>800</v>
      </c>
      <c r="C12" s="3" t="s">
        <v>54</v>
      </c>
    </row>
    <row r="13" spans="1:3" ht="30" x14ac:dyDescent="0.2">
      <c r="A13" s="8" t="s">
        <v>55</v>
      </c>
      <c r="B13" s="7">
        <f>ROUND(B12/4,0)</f>
        <v>200</v>
      </c>
      <c r="C13" s="3" t="s">
        <v>56</v>
      </c>
    </row>
    <row r="15" spans="1:3" x14ac:dyDescent="0.2">
      <c r="A15" s="8" t="s">
        <v>57</v>
      </c>
      <c r="B15" s="9">
        <v>150</v>
      </c>
    </row>
    <row r="16" spans="1:3" x14ac:dyDescent="0.2">
      <c r="A16" s="8" t="s">
        <v>58</v>
      </c>
      <c r="B16" s="7">
        <f>ROUND(B15*1.3,0)</f>
        <v>195</v>
      </c>
      <c r="C16" s="3" t="s">
        <v>59</v>
      </c>
    </row>
    <row r="18" spans="1:1" x14ac:dyDescent="0.2">
      <c r="A18" s="5" t="s">
        <v>60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I13"/>
  <sheetViews>
    <sheetView showGridLines="0" zoomScaleNormal="100" workbookViewId="0">
      <pane ySplit="1" topLeftCell="A2" activePane="bottomLeft" state="frozen"/>
      <selection pane="bottomLeft" activeCell="B3" sqref="B3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34" customWidth="1"/>
    <col min="4" max="4" width="20" customWidth="1"/>
    <col min="5" max="5" width="32" customWidth="1"/>
    <col min="6" max="7" width="16" customWidth="1"/>
    <col min="8" max="8" width="18" customWidth="1"/>
    <col min="9" max="9" width="30" customWidth="1"/>
  </cols>
  <sheetData>
    <row r="1" spans="1:9" ht="45" customHeight="1" x14ac:dyDescent="0.2">
      <c r="A1" s="2" t="s">
        <v>11</v>
      </c>
      <c r="B1" s="2" t="s">
        <v>12</v>
      </c>
      <c r="C1" s="2" t="s">
        <v>13</v>
      </c>
      <c r="D1" s="2" t="s">
        <v>14</v>
      </c>
      <c r="E1" s="2" t="s">
        <v>24</v>
      </c>
      <c r="F1" s="2" t="s">
        <v>25</v>
      </c>
      <c r="G1" s="2" t="s">
        <v>26</v>
      </c>
      <c r="H1" s="2" t="s">
        <v>18</v>
      </c>
      <c r="I1" s="2" t="s">
        <v>8</v>
      </c>
    </row>
    <row r="2" spans="1:9" ht="30" x14ac:dyDescent="0.2">
      <c r="A2" s="3" t="s">
        <v>27</v>
      </c>
      <c r="B2" s="3" t="s">
        <v>28</v>
      </c>
      <c r="C2" s="3" t="str">
        <f t="shared" ref="C2:C13" si="0">IFERROR(VLOOKUP($B2,video_provider_examples_map,2,FALSE()),"")</f>
        <v>kling-v2.6</v>
      </c>
      <c r="D2" s="3" t="s">
        <v>29</v>
      </c>
      <c r="E2" s="3" t="s">
        <v>30</v>
      </c>
      <c r="F2" s="3">
        <v>5</v>
      </c>
      <c r="G2" s="3" t="s">
        <v>31</v>
      </c>
      <c r="H2" s="3">
        <v>10</v>
      </c>
      <c r="I2" s="3" t="s">
        <v>32</v>
      </c>
    </row>
    <row r="3" spans="1:9" x14ac:dyDescent="0.2">
      <c r="A3" s="4"/>
      <c r="B3" s="4"/>
      <c r="C3" s="3" t="str">
        <f t="shared" si="0"/>
        <v/>
      </c>
      <c r="D3" s="4"/>
      <c r="E3" s="4"/>
      <c r="F3" s="4"/>
      <c r="G3" s="4"/>
      <c r="H3" s="4"/>
      <c r="I3" s="4"/>
    </row>
    <row r="4" spans="1:9" x14ac:dyDescent="0.2">
      <c r="A4" s="4"/>
      <c r="B4" s="4"/>
      <c r="C4" s="3" t="str">
        <f t="shared" si="0"/>
        <v/>
      </c>
      <c r="D4" s="4"/>
      <c r="E4" s="4"/>
      <c r="F4" s="4"/>
      <c r="G4" s="4"/>
      <c r="H4" s="4"/>
      <c r="I4" s="4"/>
    </row>
    <row r="5" spans="1:9" x14ac:dyDescent="0.2">
      <c r="A5" s="4"/>
      <c r="B5" s="4"/>
      <c r="C5" s="3" t="str">
        <f t="shared" si="0"/>
        <v/>
      </c>
      <c r="D5" s="4"/>
      <c r="E5" s="4"/>
      <c r="F5" s="4"/>
      <c r="G5" s="4"/>
      <c r="H5" s="4"/>
      <c r="I5" s="4"/>
    </row>
    <row r="6" spans="1:9" x14ac:dyDescent="0.2">
      <c r="A6" s="4"/>
      <c r="B6" s="4"/>
      <c r="C6" s="3" t="str">
        <f t="shared" si="0"/>
        <v/>
      </c>
      <c r="D6" s="4"/>
      <c r="E6" s="4"/>
      <c r="F6" s="4"/>
      <c r="G6" s="4"/>
      <c r="H6" s="4"/>
      <c r="I6" s="4"/>
    </row>
    <row r="7" spans="1:9" x14ac:dyDescent="0.2">
      <c r="A7" s="4"/>
      <c r="B7" s="4"/>
      <c r="C7" s="3" t="str">
        <f t="shared" si="0"/>
        <v/>
      </c>
      <c r="D7" s="4"/>
      <c r="E7" s="4"/>
      <c r="F7" s="4"/>
      <c r="G7" s="4"/>
      <c r="H7" s="4"/>
      <c r="I7" s="4"/>
    </row>
    <row r="8" spans="1:9" x14ac:dyDescent="0.2">
      <c r="A8" s="4"/>
      <c r="B8" s="4"/>
      <c r="C8" s="3" t="str">
        <f t="shared" si="0"/>
        <v/>
      </c>
      <c r="D8" s="4"/>
      <c r="E8" s="4"/>
      <c r="F8" s="4"/>
      <c r="G8" s="4"/>
      <c r="H8" s="4"/>
      <c r="I8" s="4"/>
    </row>
    <row r="9" spans="1:9" x14ac:dyDescent="0.2">
      <c r="A9" s="4"/>
      <c r="B9" s="4"/>
      <c r="C9" s="3" t="str">
        <f t="shared" si="0"/>
        <v/>
      </c>
      <c r="D9" s="4"/>
      <c r="E9" s="4"/>
      <c r="F9" s="4"/>
      <c r="G9" s="4"/>
      <c r="H9" s="4"/>
      <c r="I9" s="4"/>
    </row>
    <row r="10" spans="1:9" x14ac:dyDescent="0.2">
      <c r="A10" s="4"/>
      <c r="B10" s="4"/>
      <c r="C10" s="3" t="str">
        <f t="shared" si="0"/>
        <v/>
      </c>
      <c r="D10" s="4"/>
      <c r="E10" s="4"/>
      <c r="F10" s="4"/>
      <c r="G10" s="4"/>
      <c r="H10" s="4"/>
      <c r="I10" s="4"/>
    </row>
    <row r="11" spans="1:9" x14ac:dyDescent="0.2">
      <c r="A11" s="4"/>
      <c r="B11" s="4"/>
      <c r="C11" s="3" t="str">
        <f t="shared" si="0"/>
        <v/>
      </c>
      <c r="D11" s="4"/>
      <c r="E11" s="4"/>
      <c r="F11" s="4"/>
      <c r="G11" s="4"/>
      <c r="H11" s="4"/>
      <c r="I11" s="4"/>
    </row>
    <row r="12" spans="1:9" x14ac:dyDescent="0.2">
      <c r="A12" s="4"/>
      <c r="B12" s="4"/>
      <c r="C12" s="3" t="str">
        <f t="shared" si="0"/>
        <v/>
      </c>
      <c r="D12" s="4"/>
      <c r="E12" s="4"/>
      <c r="F12" s="4"/>
      <c r="G12" s="4"/>
      <c r="H12" s="4"/>
      <c r="I12" s="4"/>
    </row>
    <row r="13" spans="1:9" x14ac:dyDescent="0.2">
      <c r="A13" s="4"/>
      <c r="B13" s="4"/>
      <c r="C13" s="3" t="str">
        <f t="shared" si="0"/>
        <v/>
      </c>
      <c r="D13" s="4"/>
      <c r="E13" s="4"/>
      <c r="F13" s="4"/>
      <c r="G13" s="4"/>
      <c r="H13" s="4"/>
      <c r="I13" s="4"/>
    </row>
  </sheetData>
  <dataValidations count="4">
    <dataValidation type="list" allowBlank="1" sqref="B3:B13" xr:uid="{00000000-0002-0000-0200-000000000000}">
      <formula1>video_providers</formula1>
      <formula2>0</formula2>
    </dataValidation>
    <dataValidation type="list" allowBlank="1" sqref="G3:G13" xr:uid="{00000000-0002-0000-0200-000001000000}">
      <formula1>yes_no_list</formula1>
      <formula2>0</formula2>
    </dataValidation>
    <dataValidation type="list" allowBlank="1" errorTitle="Choose provider first" error="Pick a Provider in this row first." sqref="D3:D13" xr:uid="{00000000-0002-0000-0200-000002000000}">
      <formula1>INDIRECT("models_video_"&amp;$B3)</formula1>
      <formula2>0</formula2>
    </dataValidation>
    <dataValidation type="list" allowBlank="1" errorTitle="Choose model first" error="Pick a Model in this row first." sqref="E3:E13" xr:uid="{00000000-0002-0000-0200-000003000000}">
      <formula1>INDIRECT("resolutions_"&amp;SUBSTITUTE(SUBSTITUTE($D3,"-","_"),".","_"))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C10"/>
  <sheetViews>
    <sheetView showGridLines="0" zoomScaleNormal="100" workbookViewId="0"/>
  </sheetViews>
  <sheetFormatPr baseColWidth="10" defaultColWidth="8.6640625" defaultRowHeight="15" x14ac:dyDescent="0.2"/>
  <cols>
    <col min="1" max="1" width="44" customWidth="1"/>
    <col min="2" max="2" width="22" customWidth="1"/>
    <col min="3" max="3" width="55" customWidth="1"/>
  </cols>
  <sheetData>
    <row r="1" spans="1:3" x14ac:dyDescent="0.2">
      <c r="A1" s="2" t="s">
        <v>61</v>
      </c>
      <c r="B1" s="2" t="s">
        <v>62</v>
      </c>
      <c r="C1" s="2" t="s">
        <v>63</v>
      </c>
    </row>
    <row r="2" spans="1:3" ht="31.5" customHeight="1" x14ac:dyDescent="0.2">
      <c r="A2" s="10" t="s">
        <v>64</v>
      </c>
      <c r="B2" s="4" t="s">
        <v>65</v>
      </c>
      <c r="C2" s="3" t="s">
        <v>66</v>
      </c>
    </row>
    <row r="3" spans="1:3" ht="31.5" customHeight="1" x14ac:dyDescent="0.2">
      <c r="A3" s="10" t="s">
        <v>67</v>
      </c>
      <c r="B3" s="4" t="s">
        <v>68</v>
      </c>
      <c r="C3" s="3" t="s">
        <v>69</v>
      </c>
    </row>
    <row r="4" spans="1:3" ht="31.5" customHeight="1" x14ac:dyDescent="0.2">
      <c r="A4" s="10" t="s">
        <v>70</v>
      </c>
      <c r="B4" s="4">
        <v>1</v>
      </c>
      <c r="C4" s="3" t="s">
        <v>71</v>
      </c>
    </row>
    <row r="5" spans="1:3" ht="31.5" customHeight="1" x14ac:dyDescent="0.2">
      <c r="A5" s="10" t="s">
        <v>72</v>
      </c>
      <c r="B5" s="4" t="s">
        <v>31</v>
      </c>
      <c r="C5" s="3" t="s">
        <v>73</v>
      </c>
    </row>
    <row r="6" spans="1:3" ht="31.5" customHeight="1" x14ac:dyDescent="0.2">
      <c r="A6" s="10" t="s">
        <v>74</v>
      </c>
      <c r="B6" s="4">
        <v>0</v>
      </c>
      <c r="C6" s="3" t="s">
        <v>75</v>
      </c>
    </row>
    <row r="7" spans="1:3" ht="31.5" customHeight="1" x14ac:dyDescent="0.2">
      <c r="A7" s="10" t="s">
        <v>76</v>
      </c>
      <c r="B7" s="4" t="s">
        <v>77</v>
      </c>
      <c r="C7" s="3" t="s">
        <v>78</v>
      </c>
    </row>
    <row r="8" spans="1:3" ht="31.5" customHeight="1" x14ac:dyDescent="0.2">
      <c r="A8" s="10" t="s">
        <v>79</v>
      </c>
      <c r="B8" s="4" t="s">
        <v>80</v>
      </c>
      <c r="C8" s="3" t="s">
        <v>81</v>
      </c>
    </row>
    <row r="9" spans="1:3" ht="31.5" customHeight="1" x14ac:dyDescent="0.2">
      <c r="A9" s="10" t="s">
        <v>82</v>
      </c>
      <c r="B9" s="4" t="s">
        <v>83</v>
      </c>
      <c r="C9" s="3" t="s">
        <v>84</v>
      </c>
    </row>
    <row r="10" spans="1:3" ht="31.5" customHeight="1" x14ac:dyDescent="0.2">
      <c r="A10" s="10" t="s">
        <v>85</v>
      </c>
      <c r="B10" s="4" t="s">
        <v>86</v>
      </c>
      <c r="C10" s="3" t="s">
        <v>87</v>
      </c>
    </row>
  </sheetData>
  <dataValidations count="5">
    <dataValidation type="list" allowBlank="1" sqref="B3" xr:uid="{00000000-0002-0000-0400-000000000000}">
      <formula1>timespan_units_list</formula1>
      <formula2>0</formula2>
    </dataValidation>
    <dataValidation type="list" allowBlank="1" sqref="B5" xr:uid="{00000000-0002-0000-0400-000001000000}">
      <formula1>yes_no_list</formula1>
      <formula2>0</formula2>
    </dataValidation>
    <dataValidation type="list" allowBlank="1" sqref="B8" xr:uid="{00000000-0002-0000-0400-000002000000}">
      <formula1>countries_list</formula1>
      <formula2>0</formula2>
    </dataValidation>
    <dataValidation type="list" allowBlank="1" sqref="B9" xr:uid="{00000000-0002-0000-0400-000003000000}">
      <formula1>devices_list</formula1>
      <formula2>0</formula2>
    </dataValidation>
    <dataValidation type="list" allowBlank="1" sqref="B10" xr:uid="{00000000-0002-0000-0400-000004000000}">
      <formula1>networks_list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AT177"/>
  <sheetViews>
    <sheetView showGridLines="0" zoomScaleNormal="100" workbookViewId="0"/>
  </sheetViews>
  <sheetFormatPr baseColWidth="10" defaultColWidth="8.6640625" defaultRowHeight="15" x14ac:dyDescent="0.2"/>
  <cols>
    <col min="1" max="7" width="18" customWidth="1"/>
    <col min="8" max="8" width="19" customWidth="1"/>
    <col min="9" max="9" width="23" customWidth="1"/>
    <col min="10" max="10" width="20" customWidth="1"/>
    <col min="11" max="11" width="26" customWidth="1"/>
    <col min="12" max="12" width="29" customWidth="1"/>
    <col min="13" max="13" width="23" customWidth="1"/>
    <col min="14" max="14" width="20" customWidth="1"/>
    <col min="15" max="15" width="22" customWidth="1"/>
    <col min="16" max="16" width="24" customWidth="1"/>
    <col min="17" max="17" width="21" customWidth="1"/>
    <col min="18" max="18" width="22" customWidth="1"/>
    <col min="19" max="19" width="25" customWidth="1"/>
    <col min="20" max="21" width="21" customWidth="1"/>
    <col min="22" max="22" width="22" customWidth="1"/>
    <col min="23" max="24" width="24" customWidth="1"/>
    <col min="25" max="25" width="22" customWidth="1"/>
    <col min="26" max="26" width="26" customWidth="1"/>
    <col min="27" max="27" width="30" customWidth="1"/>
    <col min="28" max="28" width="21" customWidth="1"/>
    <col min="29" max="29" width="24" customWidth="1"/>
    <col min="30" max="30" width="23" customWidth="1"/>
    <col min="31" max="31" width="26" customWidth="1"/>
    <col min="32" max="32" width="30" customWidth="1"/>
    <col min="33" max="34" width="20" customWidth="1"/>
    <col min="35" max="35" width="24" customWidth="1"/>
    <col min="36" max="36" width="21" customWidth="1"/>
    <col min="37" max="37" width="26" customWidth="1"/>
    <col min="38" max="38" width="21" customWidth="1"/>
    <col min="39" max="39" width="26" customWidth="1"/>
    <col min="40" max="40" width="20" customWidth="1"/>
    <col min="41" max="41" width="45" customWidth="1"/>
    <col min="42" max="42" width="20" customWidth="1"/>
    <col min="43" max="43" width="45" customWidth="1"/>
    <col min="44" max="44" width="21" customWidth="1"/>
    <col min="45" max="45" width="20" customWidth="1"/>
    <col min="46" max="46" width="45" customWidth="1"/>
  </cols>
  <sheetData>
    <row r="1" spans="1:46" x14ac:dyDescent="0.2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99</v>
      </c>
      <c r="M1" s="6" t="s">
        <v>100</v>
      </c>
      <c r="N1" s="6" t="s">
        <v>101</v>
      </c>
      <c r="O1" s="6" t="s">
        <v>102</v>
      </c>
      <c r="P1" s="6" t="s">
        <v>103</v>
      </c>
      <c r="Q1" s="6" t="s">
        <v>104</v>
      </c>
      <c r="R1" s="6" t="s">
        <v>105</v>
      </c>
      <c r="S1" s="6" t="s">
        <v>106</v>
      </c>
      <c r="T1" s="6" t="s">
        <v>107</v>
      </c>
      <c r="U1" s="6" t="s">
        <v>108</v>
      </c>
      <c r="V1" s="6" t="s">
        <v>109</v>
      </c>
      <c r="W1" s="6" t="s">
        <v>110</v>
      </c>
      <c r="X1" s="6" t="s">
        <v>111</v>
      </c>
      <c r="Y1" s="6" t="s">
        <v>112</v>
      </c>
      <c r="Z1" s="6" t="s">
        <v>113</v>
      </c>
      <c r="AA1" s="6" t="s">
        <v>114</v>
      </c>
      <c r="AB1" s="6" t="s">
        <v>115</v>
      </c>
      <c r="AC1" s="6" t="s">
        <v>116</v>
      </c>
      <c r="AD1" s="6" t="s">
        <v>117</v>
      </c>
      <c r="AE1" s="6" t="s">
        <v>118</v>
      </c>
      <c r="AF1" s="6" t="s">
        <v>119</v>
      </c>
      <c r="AG1" s="6" t="s">
        <v>120</v>
      </c>
      <c r="AH1" s="6" t="s">
        <v>121</v>
      </c>
      <c r="AI1" s="6" t="s">
        <v>122</v>
      </c>
      <c r="AJ1" s="6" t="s">
        <v>123</v>
      </c>
      <c r="AK1" s="6" t="s">
        <v>124</v>
      </c>
      <c r="AL1" s="6" t="s">
        <v>125</v>
      </c>
      <c r="AM1" s="6" t="s">
        <v>126</v>
      </c>
      <c r="AN1" s="6" t="s">
        <v>127</v>
      </c>
      <c r="AO1" s="6" t="s">
        <v>128</v>
      </c>
      <c r="AP1" s="6" t="s">
        <v>129</v>
      </c>
      <c r="AQ1" s="6" t="s">
        <v>128</v>
      </c>
      <c r="AR1" s="6" t="s">
        <v>130</v>
      </c>
      <c r="AS1" s="6" t="s">
        <v>131</v>
      </c>
      <c r="AT1" s="6" t="s">
        <v>132</v>
      </c>
    </row>
    <row r="2" spans="1:46" x14ac:dyDescent="0.2">
      <c r="A2" s="11" t="s">
        <v>133</v>
      </c>
      <c r="B2" s="11" t="s">
        <v>134</v>
      </c>
      <c r="C2" s="11" t="s">
        <v>135</v>
      </c>
      <c r="D2" s="11" t="s">
        <v>136</v>
      </c>
      <c r="E2" s="11" t="s">
        <v>86</v>
      </c>
      <c r="F2" s="11" t="s">
        <v>137</v>
      </c>
      <c r="G2" s="11" t="s">
        <v>138</v>
      </c>
      <c r="H2" s="11" t="s">
        <v>139</v>
      </c>
      <c r="I2" s="11" t="s">
        <v>140</v>
      </c>
      <c r="J2" s="11" t="s">
        <v>141</v>
      </c>
      <c r="K2" s="11" t="s">
        <v>142</v>
      </c>
      <c r="L2" s="11" t="s">
        <v>143</v>
      </c>
      <c r="M2" s="11" t="s">
        <v>144</v>
      </c>
      <c r="N2" s="11" t="s">
        <v>145</v>
      </c>
      <c r="O2" s="11" t="s">
        <v>146</v>
      </c>
      <c r="P2" s="11" t="s">
        <v>147</v>
      </c>
      <c r="Q2" s="11" t="s">
        <v>148</v>
      </c>
      <c r="R2" s="11" t="s">
        <v>149</v>
      </c>
      <c r="S2" s="11" t="s">
        <v>150</v>
      </c>
      <c r="T2" s="11" t="s">
        <v>151</v>
      </c>
      <c r="U2" s="11" t="s">
        <v>152</v>
      </c>
      <c r="V2" s="11" t="s">
        <v>153</v>
      </c>
      <c r="W2" s="11" t="s">
        <v>30</v>
      </c>
      <c r="X2" s="11" t="s">
        <v>30</v>
      </c>
      <c r="Y2" s="11" t="s">
        <v>30</v>
      </c>
      <c r="Z2" s="11" t="s">
        <v>154</v>
      </c>
      <c r="AA2" s="11" t="s">
        <v>30</v>
      </c>
      <c r="AB2" s="11" t="s">
        <v>30</v>
      </c>
      <c r="AC2" s="11" t="s">
        <v>155</v>
      </c>
      <c r="AD2" s="11" t="s">
        <v>155</v>
      </c>
      <c r="AE2" s="11" t="s">
        <v>30</v>
      </c>
      <c r="AF2" s="11" t="s">
        <v>30</v>
      </c>
      <c r="AG2" s="11" t="s">
        <v>30</v>
      </c>
      <c r="AH2" s="11" t="s">
        <v>30</v>
      </c>
      <c r="AI2" s="11" t="s">
        <v>30</v>
      </c>
      <c r="AJ2" s="11" t="s">
        <v>30</v>
      </c>
      <c r="AK2" s="11" t="s">
        <v>30</v>
      </c>
      <c r="AL2" s="11" t="s">
        <v>30</v>
      </c>
      <c r="AM2" s="11" t="s">
        <v>30</v>
      </c>
      <c r="AN2" s="11" t="s">
        <v>133</v>
      </c>
      <c r="AO2" s="11" t="s">
        <v>156</v>
      </c>
      <c r="AP2" s="11" t="s">
        <v>134</v>
      </c>
      <c r="AQ2" s="11" t="s">
        <v>157</v>
      </c>
      <c r="AR2" s="11" t="s">
        <v>22</v>
      </c>
      <c r="AS2" s="11" t="s">
        <v>22</v>
      </c>
      <c r="AT2" s="11">
        <v>40</v>
      </c>
    </row>
    <row r="3" spans="1:46" x14ac:dyDescent="0.2">
      <c r="A3" s="11" t="s">
        <v>158</v>
      </c>
      <c r="B3" s="11" t="s">
        <v>159</v>
      </c>
      <c r="C3" s="11" t="s">
        <v>160</v>
      </c>
      <c r="D3" s="11" t="s">
        <v>83</v>
      </c>
      <c r="E3" s="11" t="s">
        <v>161</v>
      </c>
      <c r="F3" s="11" t="s">
        <v>68</v>
      </c>
      <c r="G3" s="11" t="s">
        <v>31</v>
      </c>
      <c r="H3" s="11" t="s">
        <v>154</v>
      </c>
      <c r="I3" s="11" t="s">
        <v>162</v>
      </c>
      <c r="J3" s="11" t="s">
        <v>163</v>
      </c>
      <c r="K3" s="11" t="s">
        <v>164</v>
      </c>
      <c r="L3" s="11" t="s">
        <v>165</v>
      </c>
      <c r="M3" s="11" t="s">
        <v>166</v>
      </c>
      <c r="N3" s="11" t="s">
        <v>167</v>
      </c>
      <c r="O3" s="11" t="s">
        <v>157</v>
      </c>
      <c r="P3" s="11" t="s">
        <v>168</v>
      </c>
      <c r="Q3" s="11" t="s">
        <v>169</v>
      </c>
      <c r="R3" s="11" t="s">
        <v>29</v>
      </c>
      <c r="S3" s="11" t="s">
        <v>170</v>
      </c>
      <c r="V3" s="11" t="s">
        <v>171</v>
      </c>
      <c r="Z3" s="11" t="s">
        <v>30</v>
      </c>
      <c r="AA3" s="11" t="s">
        <v>139</v>
      </c>
      <c r="AI3" s="11" t="s">
        <v>139</v>
      </c>
      <c r="AJ3" s="11" t="s">
        <v>139</v>
      </c>
      <c r="AK3" s="11" t="s">
        <v>139</v>
      </c>
      <c r="AL3" s="11" t="s">
        <v>139</v>
      </c>
      <c r="AM3" s="11" t="s">
        <v>139</v>
      </c>
      <c r="AN3" s="11" t="s">
        <v>158</v>
      </c>
      <c r="AO3" s="11" t="s">
        <v>172</v>
      </c>
      <c r="AP3" s="11" t="s">
        <v>159</v>
      </c>
      <c r="AQ3" s="11" t="s">
        <v>168</v>
      </c>
      <c r="AR3" s="11" t="s">
        <v>40</v>
      </c>
      <c r="AS3" s="11" t="s">
        <v>40</v>
      </c>
      <c r="AT3" s="11">
        <v>125</v>
      </c>
    </row>
    <row r="4" spans="1:46" x14ac:dyDescent="0.2">
      <c r="A4" s="11" t="s">
        <v>173</v>
      </c>
      <c r="B4" s="11" t="s">
        <v>174</v>
      </c>
      <c r="C4" s="11" t="s">
        <v>175</v>
      </c>
      <c r="D4" s="11" t="s">
        <v>176</v>
      </c>
      <c r="F4" s="11" t="s">
        <v>177</v>
      </c>
      <c r="H4" s="11" t="s">
        <v>155</v>
      </c>
      <c r="I4" s="11" t="s">
        <v>178</v>
      </c>
      <c r="J4" s="11" t="s">
        <v>172</v>
      </c>
      <c r="K4" s="11" t="s">
        <v>179</v>
      </c>
      <c r="L4" s="11" t="s">
        <v>180</v>
      </c>
      <c r="M4" s="11" t="s">
        <v>181</v>
      </c>
      <c r="N4" s="11" t="s">
        <v>182</v>
      </c>
      <c r="Q4" s="11" t="s">
        <v>183</v>
      </c>
      <c r="R4" s="11" t="s">
        <v>184</v>
      </c>
      <c r="AN4" s="11" t="s">
        <v>173</v>
      </c>
      <c r="AO4" s="11" t="s">
        <v>185</v>
      </c>
      <c r="AP4" s="11" t="s">
        <v>174</v>
      </c>
      <c r="AQ4" s="11" t="s">
        <v>183</v>
      </c>
      <c r="AR4" s="11" t="s">
        <v>43</v>
      </c>
      <c r="AS4" s="11" t="s">
        <v>43</v>
      </c>
      <c r="AT4" s="11">
        <v>375</v>
      </c>
    </row>
    <row r="5" spans="1:46" x14ac:dyDescent="0.2">
      <c r="A5" s="11" t="s">
        <v>186</v>
      </c>
      <c r="B5" s="11" t="s">
        <v>28</v>
      </c>
      <c r="C5" s="11" t="s">
        <v>187</v>
      </c>
      <c r="D5" s="11" t="s">
        <v>188</v>
      </c>
      <c r="H5" s="11" t="s">
        <v>30</v>
      </c>
      <c r="I5" s="11" t="s">
        <v>189</v>
      </c>
      <c r="J5" s="11" t="s">
        <v>190</v>
      </c>
      <c r="K5" s="11" t="s">
        <v>191</v>
      </c>
      <c r="L5" s="11" t="s">
        <v>192</v>
      </c>
      <c r="M5" s="11" t="s">
        <v>193</v>
      </c>
      <c r="N5" s="11" t="s">
        <v>194</v>
      </c>
      <c r="Q5" s="11" t="s">
        <v>195</v>
      </c>
      <c r="AN5" s="11" t="s">
        <v>186</v>
      </c>
      <c r="AO5" s="11" t="s">
        <v>196</v>
      </c>
      <c r="AP5" s="11" t="s">
        <v>28</v>
      </c>
      <c r="AQ5" s="11" t="s">
        <v>29</v>
      </c>
      <c r="AR5" s="11" t="s">
        <v>46</v>
      </c>
      <c r="AS5" s="11" t="s">
        <v>46</v>
      </c>
      <c r="AT5" s="11">
        <v>1000</v>
      </c>
    </row>
    <row r="6" spans="1:46" x14ac:dyDescent="0.2">
      <c r="A6" s="11" t="s">
        <v>197</v>
      </c>
      <c r="B6" s="11" t="s">
        <v>198</v>
      </c>
      <c r="C6" s="11" t="s">
        <v>199</v>
      </c>
      <c r="I6" s="11" t="s">
        <v>200</v>
      </c>
      <c r="J6" s="11" t="s">
        <v>201</v>
      </c>
      <c r="K6" s="11" t="s">
        <v>202</v>
      </c>
      <c r="L6" s="11" t="s">
        <v>203</v>
      </c>
      <c r="M6" s="11" t="s">
        <v>204</v>
      </c>
      <c r="N6" s="11" t="s">
        <v>205</v>
      </c>
      <c r="AN6" s="11" t="s">
        <v>197</v>
      </c>
      <c r="AO6" s="11" t="s">
        <v>206</v>
      </c>
      <c r="AP6" s="11" t="s">
        <v>198</v>
      </c>
      <c r="AQ6" s="11" t="s">
        <v>170</v>
      </c>
      <c r="AR6" s="11" t="s">
        <v>49</v>
      </c>
      <c r="AS6" s="11" t="s">
        <v>49</v>
      </c>
      <c r="AT6" s="11">
        <v>2000</v>
      </c>
    </row>
    <row r="7" spans="1:46" x14ac:dyDescent="0.2">
      <c r="A7" s="11" t="s">
        <v>20</v>
      </c>
      <c r="B7" s="11" t="s">
        <v>20</v>
      </c>
      <c r="C7" s="11" t="s">
        <v>207</v>
      </c>
      <c r="I7" s="11" t="s">
        <v>208</v>
      </c>
      <c r="J7" s="11" t="s">
        <v>209</v>
      </c>
      <c r="K7" s="11" t="s">
        <v>210</v>
      </c>
      <c r="L7" s="11" t="s">
        <v>211</v>
      </c>
      <c r="M7" s="11" t="s">
        <v>212</v>
      </c>
      <c r="N7" s="11" t="s">
        <v>213</v>
      </c>
      <c r="AN7" s="11" t="s">
        <v>20</v>
      </c>
      <c r="AO7" s="11" t="s">
        <v>214</v>
      </c>
      <c r="AP7" s="11" t="s">
        <v>20</v>
      </c>
      <c r="AQ7" s="11" t="s">
        <v>151</v>
      </c>
    </row>
    <row r="8" spans="1:46" x14ac:dyDescent="0.2">
      <c r="B8" s="11" t="s">
        <v>215</v>
      </c>
      <c r="C8" s="11" t="s">
        <v>216</v>
      </c>
      <c r="I8" s="11" t="s">
        <v>217</v>
      </c>
      <c r="J8" s="11" t="s">
        <v>218</v>
      </c>
      <c r="K8" s="11" t="s">
        <v>219</v>
      </c>
      <c r="L8" s="11" t="s">
        <v>220</v>
      </c>
      <c r="M8" s="11" t="s">
        <v>221</v>
      </c>
      <c r="N8" s="11" t="s">
        <v>222</v>
      </c>
      <c r="AP8" s="11" t="s">
        <v>215</v>
      </c>
      <c r="AQ8" s="11" t="s">
        <v>152</v>
      </c>
    </row>
    <row r="9" spans="1:46" x14ac:dyDescent="0.2">
      <c r="B9" s="11" t="s">
        <v>223</v>
      </c>
      <c r="C9" s="11" t="s">
        <v>224</v>
      </c>
      <c r="I9" s="11" t="s">
        <v>225</v>
      </c>
      <c r="J9" s="11" t="s">
        <v>226</v>
      </c>
      <c r="K9" s="11" t="s">
        <v>227</v>
      </c>
      <c r="L9" s="11" t="s">
        <v>228</v>
      </c>
      <c r="M9" s="11" t="s">
        <v>229</v>
      </c>
      <c r="N9" s="11" t="s">
        <v>230</v>
      </c>
      <c r="AP9" s="11" t="s">
        <v>223</v>
      </c>
      <c r="AQ9" s="11" t="s">
        <v>171</v>
      </c>
    </row>
    <row r="10" spans="1:46" x14ac:dyDescent="0.2">
      <c r="C10" s="11" t="s">
        <v>231</v>
      </c>
      <c r="I10" s="11" t="s">
        <v>232</v>
      </c>
      <c r="J10" s="11" t="s">
        <v>233</v>
      </c>
      <c r="K10" s="11" t="s">
        <v>234</v>
      </c>
      <c r="L10" s="11" t="s">
        <v>235</v>
      </c>
      <c r="M10" s="11" t="s">
        <v>236</v>
      </c>
      <c r="N10" s="11" t="s">
        <v>237</v>
      </c>
    </row>
    <row r="11" spans="1:46" x14ac:dyDescent="0.2">
      <c r="C11" s="11" t="s">
        <v>238</v>
      </c>
      <c r="I11" s="11" t="s">
        <v>239</v>
      </c>
      <c r="J11" s="11" t="s">
        <v>240</v>
      </c>
      <c r="K11" s="11" t="s">
        <v>241</v>
      </c>
      <c r="L11" s="11" t="s">
        <v>242</v>
      </c>
      <c r="M11" s="11" t="s">
        <v>243</v>
      </c>
      <c r="N11" s="11" t="s">
        <v>244</v>
      </c>
    </row>
    <row r="12" spans="1:46" x14ac:dyDescent="0.2">
      <c r="C12" s="11" t="s">
        <v>245</v>
      </c>
      <c r="I12" s="11" t="s">
        <v>246</v>
      </c>
      <c r="J12" s="11" t="s">
        <v>247</v>
      </c>
      <c r="K12" s="11" t="s">
        <v>248</v>
      </c>
      <c r="L12" s="11" t="s">
        <v>249</v>
      </c>
      <c r="M12" s="11" t="s">
        <v>250</v>
      </c>
      <c r="N12" s="11" t="s">
        <v>251</v>
      </c>
    </row>
    <row r="13" spans="1:46" x14ac:dyDescent="0.2">
      <c r="C13" s="11" t="s">
        <v>252</v>
      </c>
      <c r="I13" s="11" t="s">
        <v>253</v>
      </c>
      <c r="K13" s="11" t="s">
        <v>254</v>
      </c>
      <c r="L13" s="11" t="s">
        <v>255</v>
      </c>
      <c r="M13" s="11" t="s">
        <v>256</v>
      </c>
      <c r="N13" s="11" t="s">
        <v>257</v>
      </c>
    </row>
    <row r="14" spans="1:46" x14ac:dyDescent="0.2">
      <c r="C14" s="11" t="s">
        <v>258</v>
      </c>
      <c r="I14" s="11" t="s">
        <v>259</v>
      </c>
      <c r="K14" s="11" t="s">
        <v>260</v>
      </c>
      <c r="L14" s="11" t="s">
        <v>261</v>
      </c>
      <c r="M14" s="11" t="s">
        <v>262</v>
      </c>
      <c r="N14" s="11" t="s">
        <v>263</v>
      </c>
    </row>
    <row r="15" spans="1:46" x14ac:dyDescent="0.2">
      <c r="C15" s="11" t="s">
        <v>264</v>
      </c>
      <c r="I15" s="11" t="s">
        <v>265</v>
      </c>
      <c r="K15" s="11" t="s">
        <v>266</v>
      </c>
      <c r="L15" s="11" t="s">
        <v>267</v>
      </c>
      <c r="M15" s="11" t="s">
        <v>268</v>
      </c>
      <c r="N15" s="11" t="s">
        <v>269</v>
      </c>
    </row>
    <row r="16" spans="1:46" x14ac:dyDescent="0.2">
      <c r="C16" s="11" t="s">
        <v>270</v>
      </c>
      <c r="I16" s="11" t="s">
        <v>271</v>
      </c>
      <c r="K16" s="11" t="s">
        <v>272</v>
      </c>
      <c r="L16" s="11" t="s">
        <v>273</v>
      </c>
      <c r="M16" s="11" t="s">
        <v>274</v>
      </c>
      <c r="N16" s="11" t="s">
        <v>275</v>
      </c>
    </row>
    <row r="17" spans="3:14" x14ac:dyDescent="0.2">
      <c r="C17" s="11" t="s">
        <v>276</v>
      </c>
      <c r="I17" s="11" t="s">
        <v>277</v>
      </c>
      <c r="K17" s="11" t="s">
        <v>278</v>
      </c>
      <c r="L17" s="11" t="s">
        <v>279</v>
      </c>
      <c r="M17" s="11" t="s">
        <v>280</v>
      </c>
      <c r="N17" s="11" t="s">
        <v>281</v>
      </c>
    </row>
    <row r="18" spans="3:14" x14ac:dyDescent="0.2">
      <c r="C18" s="11" t="s">
        <v>282</v>
      </c>
      <c r="K18" s="11" t="s">
        <v>283</v>
      </c>
      <c r="L18" s="11" t="s">
        <v>284</v>
      </c>
      <c r="M18" s="11" t="s">
        <v>285</v>
      </c>
      <c r="N18" s="11" t="s">
        <v>286</v>
      </c>
    </row>
    <row r="19" spans="3:14" x14ac:dyDescent="0.2">
      <c r="C19" s="11" t="s">
        <v>287</v>
      </c>
      <c r="K19" s="11" t="s">
        <v>288</v>
      </c>
      <c r="L19" s="11" t="s">
        <v>289</v>
      </c>
      <c r="M19" s="11" t="s">
        <v>290</v>
      </c>
      <c r="N19" s="11" t="s">
        <v>21</v>
      </c>
    </row>
    <row r="20" spans="3:14" x14ac:dyDescent="0.2">
      <c r="C20" s="11" t="s">
        <v>291</v>
      </c>
      <c r="K20" s="11" t="s">
        <v>292</v>
      </c>
      <c r="L20" s="11" t="s">
        <v>293</v>
      </c>
      <c r="M20" s="11" t="s">
        <v>294</v>
      </c>
      <c r="N20" s="11" t="s">
        <v>295</v>
      </c>
    </row>
    <row r="21" spans="3:14" x14ac:dyDescent="0.2">
      <c r="C21" s="11" t="s">
        <v>296</v>
      </c>
      <c r="K21" s="11" t="s">
        <v>297</v>
      </c>
      <c r="L21" s="11" t="s">
        <v>298</v>
      </c>
      <c r="M21" s="11" t="s">
        <v>299</v>
      </c>
      <c r="N21" s="11" t="s">
        <v>300</v>
      </c>
    </row>
    <row r="22" spans="3:14" x14ac:dyDescent="0.2">
      <c r="C22" s="11" t="s">
        <v>301</v>
      </c>
      <c r="K22" s="11" t="s">
        <v>302</v>
      </c>
      <c r="L22" s="11" t="s">
        <v>303</v>
      </c>
      <c r="M22" s="11" t="s">
        <v>304</v>
      </c>
      <c r="N22" s="11" t="s">
        <v>305</v>
      </c>
    </row>
    <row r="23" spans="3:14" x14ac:dyDescent="0.2">
      <c r="C23" s="11" t="s">
        <v>306</v>
      </c>
      <c r="K23" s="11" t="s">
        <v>307</v>
      </c>
      <c r="L23" s="11" t="s">
        <v>308</v>
      </c>
      <c r="M23" s="11" t="s">
        <v>309</v>
      </c>
      <c r="N23" s="11" t="s">
        <v>310</v>
      </c>
    </row>
    <row r="24" spans="3:14" x14ac:dyDescent="0.2">
      <c r="C24" s="11" t="s">
        <v>311</v>
      </c>
      <c r="L24" s="11" t="s">
        <v>312</v>
      </c>
      <c r="M24" s="11" t="s">
        <v>313</v>
      </c>
      <c r="N24" s="11" t="s">
        <v>314</v>
      </c>
    </row>
    <row r="25" spans="3:14" x14ac:dyDescent="0.2">
      <c r="C25" s="11" t="s">
        <v>315</v>
      </c>
      <c r="L25" s="11" t="s">
        <v>316</v>
      </c>
      <c r="M25" s="11" t="s">
        <v>317</v>
      </c>
      <c r="N25" s="11" t="s">
        <v>318</v>
      </c>
    </row>
    <row r="26" spans="3:14" x14ac:dyDescent="0.2">
      <c r="C26" s="11" t="s">
        <v>319</v>
      </c>
      <c r="L26" s="11" t="s">
        <v>320</v>
      </c>
      <c r="M26" s="11" t="s">
        <v>321</v>
      </c>
      <c r="N26" s="11" t="s">
        <v>322</v>
      </c>
    </row>
    <row r="27" spans="3:14" x14ac:dyDescent="0.2">
      <c r="C27" s="11" t="s">
        <v>323</v>
      </c>
      <c r="L27" s="11" t="s">
        <v>324</v>
      </c>
      <c r="M27" s="11" t="s">
        <v>325</v>
      </c>
      <c r="N27" s="11" t="s">
        <v>326</v>
      </c>
    </row>
    <row r="28" spans="3:14" x14ac:dyDescent="0.2">
      <c r="C28" s="11" t="s">
        <v>327</v>
      </c>
      <c r="L28" s="11" t="s">
        <v>328</v>
      </c>
      <c r="M28" s="11" t="s">
        <v>329</v>
      </c>
      <c r="N28" s="11" t="s">
        <v>330</v>
      </c>
    </row>
    <row r="29" spans="3:14" x14ac:dyDescent="0.2">
      <c r="C29" s="11" t="s">
        <v>331</v>
      </c>
      <c r="L29" s="11" t="s">
        <v>332</v>
      </c>
      <c r="M29" s="11" t="s">
        <v>333</v>
      </c>
      <c r="N29" s="11" t="s">
        <v>334</v>
      </c>
    </row>
    <row r="30" spans="3:14" x14ac:dyDescent="0.2">
      <c r="C30" s="11" t="s">
        <v>335</v>
      </c>
      <c r="L30" s="11" t="s">
        <v>336</v>
      </c>
      <c r="M30" s="11" t="s">
        <v>337</v>
      </c>
      <c r="N30" s="11" t="s">
        <v>338</v>
      </c>
    </row>
    <row r="31" spans="3:14" x14ac:dyDescent="0.2">
      <c r="C31" s="11" t="s">
        <v>339</v>
      </c>
      <c r="L31" s="11" t="s">
        <v>340</v>
      </c>
      <c r="M31" s="11" t="s">
        <v>341</v>
      </c>
      <c r="N31" s="11" t="s">
        <v>342</v>
      </c>
    </row>
    <row r="32" spans="3:14" x14ac:dyDescent="0.2">
      <c r="C32" s="11" t="s">
        <v>343</v>
      </c>
      <c r="L32" s="11" t="s">
        <v>344</v>
      </c>
      <c r="M32" s="11" t="s">
        <v>345</v>
      </c>
      <c r="N32" s="11" t="s">
        <v>346</v>
      </c>
    </row>
    <row r="33" spans="3:14" x14ac:dyDescent="0.2">
      <c r="C33" s="11" t="s">
        <v>347</v>
      </c>
      <c r="L33" s="11" t="s">
        <v>348</v>
      </c>
      <c r="M33" s="11" t="s">
        <v>349</v>
      </c>
      <c r="N33" s="11" t="s">
        <v>350</v>
      </c>
    </row>
    <row r="34" spans="3:14" x14ac:dyDescent="0.2">
      <c r="C34" s="11" t="s">
        <v>351</v>
      </c>
      <c r="L34" s="11" t="s">
        <v>352</v>
      </c>
      <c r="M34" s="11" t="s">
        <v>353</v>
      </c>
      <c r="N34" s="11" t="s">
        <v>354</v>
      </c>
    </row>
    <row r="35" spans="3:14" x14ac:dyDescent="0.2">
      <c r="C35" s="11" t="s">
        <v>355</v>
      </c>
      <c r="L35" s="11" t="s">
        <v>356</v>
      </c>
      <c r="M35" s="11" t="s">
        <v>357</v>
      </c>
      <c r="N35" s="11" t="s">
        <v>358</v>
      </c>
    </row>
    <row r="36" spans="3:14" x14ac:dyDescent="0.2">
      <c r="C36" s="11" t="s">
        <v>359</v>
      </c>
      <c r="L36" s="11" t="s">
        <v>360</v>
      </c>
      <c r="M36" s="11" t="s">
        <v>361</v>
      </c>
      <c r="N36" s="11" t="s">
        <v>362</v>
      </c>
    </row>
    <row r="37" spans="3:14" x14ac:dyDescent="0.2">
      <c r="C37" s="11" t="s">
        <v>363</v>
      </c>
      <c r="L37" s="11" t="s">
        <v>364</v>
      </c>
      <c r="M37" s="11" t="s">
        <v>365</v>
      </c>
      <c r="N37" s="11" t="s">
        <v>366</v>
      </c>
    </row>
    <row r="38" spans="3:14" x14ac:dyDescent="0.2">
      <c r="C38" s="11" t="s">
        <v>367</v>
      </c>
      <c r="L38" s="11" t="s">
        <v>368</v>
      </c>
      <c r="M38" s="11" t="s">
        <v>369</v>
      </c>
      <c r="N38" s="11" t="s">
        <v>370</v>
      </c>
    </row>
    <row r="39" spans="3:14" x14ac:dyDescent="0.2">
      <c r="C39" s="11" t="s">
        <v>80</v>
      </c>
      <c r="L39" s="11" t="s">
        <v>371</v>
      </c>
      <c r="M39" s="11" t="s">
        <v>372</v>
      </c>
      <c r="N39" s="11" t="s">
        <v>373</v>
      </c>
    </row>
    <row r="40" spans="3:14" x14ac:dyDescent="0.2">
      <c r="C40" s="11" t="s">
        <v>374</v>
      </c>
      <c r="L40" s="11" t="s">
        <v>375</v>
      </c>
      <c r="M40" s="11" t="s">
        <v>376</v>
      </c>
      <c r="N40" s="11" t="s">
        <v>377</v>
      </c>
    </row>
    <row r="41" spans="3:14" x14ac:dyDescent="0.2">
      <c r="C41" s="11" t="s">
        <v>378</v>
      </c>
      <c r="L41" s="11" t="s">
        <v>379</v>
      </c>
      <c r="M41" s="11" t="s">
        <v>380</v>
      </c>
      <c r="N41" s="11" t="s">
        <v>381</v>
      </c>
    </row>
    <row r="42" spans="3:14" x14ac:dyDescent="0.2">
      <c r="C42" s="11" t="s">
        <v>382</v>
      </c>
      <c r="L42" s="11" t="s">
        <v>383</v>
      </c>
      <c r="M42" s="11" t="s">
        <v>384</v>
      </c>
      <c r="N42" s="11" t="s">
        <v>385</v>
      </c>
    </row>
    <row r="43" spans="3:14" x14ac:dyDescent="0.2">
      <c r="C43" s="11" t="s">
        <v>386</v>
      </c>
      <c r="L43" s="11" t="s">
        <v>387</v>
      </c>
      <c r="M43" s="11" t="s">
        <v>388</v>
      </c>
      <c r="N43" s="11" t="s">
        <v>389</v>
      </c>
    </row>
    <row r="44" spans="3:14" x14ac:dyDescent="0.2">
      <c r="C44" s="11" t="s">
        <v>390</v>
      </c>
      <c r="L44" s="11" t="s">
        <v>391</v>
      </c>
      <c r="M44" s="11" t="s">
        <v>392</v>
      </c>
      <c r="N44" s="11" t="s">
        <v>393</v>
      </c>
    </row>
    <row r="45" spans="3:14" x14ac:dyDescent="0.2">
      <c r="C45" s="11" t="s">
        <v>394</v>
      </c>
      <c r="L45" s="11" t="s">
        <v>395</v>
      </c>
      <c r="M45" s="11" t="s">
        <v>396</v>
      </c>
      <c r="N45" s="11" t="s">
        <v>397</v>
      </c>
    </row>
    <row r="46" spans="3:14" x14ac:dyDescent="0.2">
      <c r="C46" s="11" t="s">
        <v>398</v>
      </c>
      <c r="L46" s="11" t="s">
        <v>399</v>
      </c>
      <c r="M46" s="11" t="s">
        <v>400</v>
      </c>
      <c r="N46" s="11" t="s">
        <v>401</v>
      </c>
    </row>
    <row r="47" spans="3:14" x14ac:dyDescent="0.2">
      <c r="C47" s="11" t="s">
        <v>402</v>
      </c>
      <c r="L47" s="11" t="s">
        <v>403</v>
      </c>
      <c r="M47" s="11" t="s">
        <v>404</v>
      </c>
      <c r="N47" s="11" t="s">
        <v>405</v>
      </c>
    </row>
    <row r="48" spans="3:14" x14ac:dyDescent="0.2">
      <c r="C48" s="11" t="s">
        <v>406</v>
      </c>
      <c r="L48" s="11" t="s">
        <v>407</v>
      </c>
      <c r="N48" s="11" t="s">
        <v>408</v>
      </c>
    </row>
    <row r="49" spans="3:14" x14ac:dyDescent="0.2">
      <c r="C49" s="11" t="s">
        <v>409</v>
      </c>
      <c r="L49" s="11" t="s">
        <v>410</v>
      </c>
      <c r="N49" s="11" t="s">
        <v>411</v>
      </c>
    </row>
    <row r="50" spans="3:14" x14ac:dyDescent="0.2">
      <c r="C50" s="11" t="s">
        <v>412</v>
      </c>
      <c r="L50" s="11" t="s">
        <v>413</v>
      </c>
      <c r="N50" s="11" t="s">
        <v>414</v>
      </c>
    </row>
    <row r="51" spans="3:14" x14ac:dyDescent="0.2">
      <c r="C51" s="11" t="s">
        <v>415</v>
      </c>
      <c r="L51" s="11" t="s">
        <v>416</v>
      </c>
      <c r="N51" s="11" t="s">
        <v>417</v>
      </c>
    </row>
    <row r="52" spans="3:14" x14ac:dyDescent="0.2">
      <c r="C52" s="11" t="s">
        <v>418</v>
      </c>
      <c r="L52" s="11" t="s">
        <v>419</v>
      </c>
      <c r="N52" s="11" t="s">
        <v>420</v>
      </c>
    </row>
    <row r="53" spans="3:14" x14ac:dyDescent="0.2">
      <c r="C53" s="11" t="s">
        <v>421</v>
      </c>
      <c r="L53" s="11" t="s">
        <v>422</v>
      </c>
      <c r="N53" s="11" t="s">
        <v>423</v>
      </c>
    </row>
    <row r="54" spans="3:14" x14ac:dyDescent="0.2">
      <c r="C54" s="11" t="s">
        <v>424</v>
      </c>
      <c r="L54" s="11" t="s">
        <v>425</v>
      </c>
      <c r="N54" s="11" t="s">
        <v>426</v>
      </c>
    </row>
    <row r="55" spans="3:14" x14ac:dyDescent="0.2">
      <c r="C55" s="11" t="s">
        <v>427</v>
      </c>
      <c r="L55" s="11" t="s">
        <v>428</v>
      </c>
      <c r="N55" s="11" t="s">
        <v>429</v>
      </c>
    </row>
    <row r="56" spans="3:14" x14ac:dyDescent="0.2">
      <c r="C56" s="11" t="s">
        <v>430</v>
      </c>
      <c r="L56" s="11" t="s">
        <v>431</v>
      </c>
      <c r="N56" s="11" t="s">
        <v>432</v>
      </c>
    </row>
    <row r="57" spans="3:14" x14ac:dyDescent="0.2">
      <c r="C57" s="11" t="s">
        <v>433</v>
      </c>
      <c r="L57" s="11" t="s">
        <v>434</v>
      </c>
      <c r="N57" s="11" t="s">
        <v>435</v>
      </c>
    </row>
    <row r="58" spans="3:14" x14ac:dyDescent="0.2">
      <c r="C58" s="11" t="s">
        <v>436</v>
      </c>
      <c r="L58" s="11" t="s">
        <v>437</v>
      </c>
      <c r="N58" s="11" t="s">
        <v>438</v>
      </c>
    </row>
    <row r="59" spans="3:14" x14ac:dyDescent="0.2">
      <c r="C59" s="11" t="s">
        <v>439</v>
      </c>
      <c r="L59" s="11" t="s">
        <v>440</v>
      </c>
      <c r="N59" s="11" t="s">
        <v>441</v>
      </c>
    </row>
    <row r="60" spans="3:14" x14ac:dyDescent="0.2">
      <c r="C60" s="11" t="s">
        <v>442</v>
      </c>
      <c r="L60" s="11" t="s">
        <v>443</v>
      </c>
      <c r="N60" s="11" t="s">
        <v>444</v>
      </c>
    </row>
    <row r="61" spans="3:14" x14ac:dyDescent="0.2">
      <c r="C61" s="11" t="s">
        <v>445</v>
      </c>
      <c r="L61" s="11" t="s">
        <v>446</v>
      </c>
      <c r="N61" s="11" t="s">
        <v>447</v>
      </c>
    </row>
    <row r="62" spans="3:14" x14ac:dyDescent="0.2">
      <c r="C62" s="11" t="s">
        <v>448</v>
      </c>
      <c r="L62" s="11" t="s">
        <v>449</v>
      </c>
      <c r="N62" s="11" t="s">
        <v>450</v>
      </c>
    </row>
    <row r="63" spans="3:14" x14ac:dyDescent="0.2">
      <c r="C63" s="11" t="s">
        <v>451</v>
      </c>
      <c r="L63" s="11" t="s">
        <v>452</v>
      </c>
      <c r="N63" s="11" t="s">
        <v>453</v>
      </c>
    </row>
    <row r="64" spans="3:14" x14ac:dyDescent="0.2">
      <c r="C64" s="11" t="s">
        <v>454</v>
      </c>
      <c r="L64" s="11" t="s">
        <v>455</v>
      </c>
      <c r="N64" s="11" t="s">
        <v>456</v>
      </c>
    </row>
    <row r="65" spans="3:14" x14ac:dyDescent="0.2">
      <c r="C65" s="11" t="s">
        <v>457</v>
      </c>
      <c r="L65" s="11" t="s">
        <v>458</v>
      </c>
      <c r="N65" s="11" t="s">
        <v>459</v>
      </c>
    </row>
    <row r="66" spans="3:14" x14ac:dyDescent="0.2">
      <c r="C66" s="11" t="s">
        <v>460</v>
      </c>
      <c r="L66" s="11" t="s">
        <v>461</v>
      </c>
      <c r="N66" s="11" t="s">
        <v>462</v>
      </c>
    </row>
    <row r="67" spans="3:14" x14ac:dyDescent="0.2">
      <c r="C67" s="11" t="s">
        <v>463</v>
      </c>
      <c r="L67" s="11" t="s">
        <v>464</v>
      </c>
      <c r="N67" s="11" t="s">
        <v>465</v>
      </c>
    </row>
    <row r="68" spans="3:14" x14ac:dyDescent="0.2">
      <c r="C68" s="11" t="s">
        <v>466</v>
      </c>
      <c r="L68" s="11" t="s">
        <v>467</v>
      </c>
      <c r="N68" s="11" t="s">
        <v>468</v>
      </c>
    </row>
    <row r="69" spans="3:14" x14ac:dyDescent="0.2">
      <c r="C69" s="11" t="s">
        <v>469</v>
      </c>
      <c r="L69" s="11" t="s">
        <v>470</v>
      </c>
      <c r="N69" s="11" t="s">
        <v>471</v>
      </c>
    </row>
    <row r="70" spans="3:14" x14ac:dyDescent="0.2">
      <c r="C70" s="11" t="s">
        <v>472</v>
      </c>
      <c r="L70" s="11" t="s">
        <v>473</v>
      </c>
      <c r="N70" s="11" t="s">
        <v>474</v>
      </c>
    </row>
    <row r="71" spans="3:14" x14ac:dyDescent="0.2">
      <c r="C71" s="11" t="s">
        <v>475</v>
      </c>
      <c r="L71" s="11" t="s">
        <v>476</v>
      </c>
      <c r="N71" s="11" t="s">
        <v>477</v>
      </c>
    </row>
    <row r="72" spans="3:14" x14ac:dyDescent="0.2">
      <c r="C72" s="11" t="s">
        <v>478</v>
      </c>
      <c r="L72" s="11" t="s">
        <v>479</v>
      </c>
      <c r="N72" s="11" t="s">
        <v>480</v>
      </c>
    </row>
    <row r="73" spans="3:14" x14ac:dyDescent="0.2">
      <c r="C73" s="11" t="s">
        <v>481</v>
      </c>
      <c r="L73" s="11" t="s">
        <v>482</v>
      </c>
      <c r="N73" s="11" t="s">
        <v>483</v>
      </c>
    </row>
    <row r="74" spans="3:14" x14ac:dyDescent="0.2">
      <c r="C74" s="11" t="s">
        <v>484</v>
      </c>
      <c r="L74" s="11" t="s">
        <v>485</v>
      </c>
      <c r="N74" s="11" t="s">
        <v>486</v>
      </c>
    </row>
    <row r="75" spans="3:14" x14ac:dyDescent="0.2">
      <c r="C75" s="11" t="s">
        <v>487</v>
      </c>
      <c r="L75" s="11" t="s">
        <v>488</v>
      </c>
      <c r="N75" s="11" t="s">
        <v>489</v>
      </c>
    </row>
    <row r="76" spans="3:14" x14ac:dyDescent="0.2">
      <c r="C76" s="11" t="s">
        <v>490</v>
      </c>
      <c r="L76" s="11" t="s">
        <v>491</v>
      </c>
      <c r="N76" s="11" t="s">
        <v>492</v>
      </c>
    </row>
    <row r="77" spans="3:14" x14ac:dyDescent="0.2">
      <c r="C77" s="11" t="s">
        <v>493</v>
      </c>
      <c r="L77" s="11" t="s">
        <v>494</v>
      </c>
      <c r="N77" s="11" t="s">
        <v>495</v>
      </c>
    </row>
    <row r="78" spans="3:14" x14ac:dyDescent="0.2">
      <c r="C78" s="11" t="s">
        <v>496</v>
      </c>
      <c r="L78" s="11" t="s">
        <v>497</v>
      </c>
      <c r="N78" s="11" t="s">
        <v>498</v>
      </c>
    </row>
    <row r="79" spans="3:14" x14ac:dyDescent="0.2">
      <c r="C79" s="11" t="s">
        <v>499</v>
      </c>
      <c r="L79" s="11" t="s">
        <v>500</v>
      </c>
      <c r="N79" s="11" t="s">
        <v>501</v>
      </c>
    </row>
    <row r="80" spans="3:14" x14ac:dyDescent="0.2">
      <c r="C80" s="11" t="s">
        <v>502</v>
      </c>
      <c r="L80" s="11" t="s">
        <v>503</v>
      </c>
      <c r="N80" s="11" t="s">
        <v>504</v>
      </c>
    </row>
    <row r="81" spans="3:14" x14ac:dyDescent="0.2">
      <c r="C81" s="11" t="s">
        <v>505</v>
      </c>
      <c r="L81" s="11" t="s">
        <v>506</v>
      </c>
      <c r="N81" s="11" t="s">
        <v>507</v>
      </c>
    </row>
    <row r="82" spans="3:14" x14ac:dyDescent="0.2">
      <c r="C82" s="11" t="s">
        <v>508</v>
      </c>
      <c r="L82" s="11" t="s">
        <v>509</v>
      </c>
      <c r="N82" s="11" t="s">
        <v>510</v>
      </c>
    </row>
    <row r="83" spans="3:14" x14ac:dyDescent="0.2">
      <c r="C83" s="11" t="s">
        <v>511</v>
      </c>
      <c r="L83" s="11" t="s">
        <v>512</v>
      </c>
      <c r="N83" s="11" t="s">
        <v>513</v>
      </c>
    </row>
    <row r="84" spans="3:14" x14ac:dyDescent="0.2">
      <c r="C84" s="11" t="s">
        <v>514</v>
      </c>
      <c r="L84" s="11" t="s">
        <v>515</v>
      </c>
      <c r="N84" s="11" t="s">
        <v>516</v>
      </c>
    </row>
    <row r="85" spans="3:14" x14ac:dyDescent="0.2">
      <c r="C85" s="11" t="s">
        <v>517</v>
      </c>
      <c r="L85" s="11" t="s">
        <v>518</v>
      </c>
      <c r="N85" s="11" t="s">
        <v>519</v>
      </c>
    </row>
    <row r="86" spans="3:14" x14ac:dyDescent="0.2">
      <c r="C86" s="11" t="s">
        <v>520</v>
      </c>
      <c r="L86" s="11" t="s">
        <v>521</v>
      </c>
      <c r="N86" s="11" t="s">
        <v>522</v>
      </c>
    </row>
    <row r="87" spans="3:14" x14ac:dyDescent="0.2">
      <c r="C87" s="11" t="s">
        <v>523</v>
      </c>
      <c r="L87" s="11" t="s">
        <v>524</v>
      </c>
    </row>
    <row r="88" spans="3:14" x14ac:dyDescent="0.2">
      <c r="C88" s="11" t="s">
        <v>525</v>
      </c>
      <c r="L88" s="11" t="s">
        <v>526</v>
      </c>
    </row>
    <row r="89" spans="3:14" x14ac:dyDescent="0.2">
      <c r="C89" s="11" t="s">
        <v>527</v>
      </c>
      <c r="L89" s="11" t="s">
        <v>528</v>
      </c>
    </row>
    <row r="90" spans="3:14" x14ac:dyDescent="0.2">
      <c r="C90" s="11" t="s">
        <v>529</v>
      </c>
      <c r="L90" s="11" t="s">
        <v>530</v>
      </c>
    </row>
    <row r="91" spans="3:14" x14ac:dyDescent="0.2">
      <c r="C91" s="11" t="s">
        <v>531</v>
      </c>
      <c r="L91" s="11" t="s">
        <v>532</v>
      </c>
    </row>
    <row r="92" spans="3:14" x14ac:dyDescent="0.2">
      <c r="C92" s="11" t="s">
        <v>533</v>
      </c>
      <c r="L92" s="11" t="s">
        <v>534</v>
      </c>
    </row>
    <row r="93" spans="3:14" x14ac:dyDescent="0.2">
      <c r="C93" s="11" t="s">
        <v>535</v>
      </c>
      <c r="L93" s="11" t="s">
        <v>536</v>
      </c>
    </row>
    <row r="94" spans="3:14" x14ac:dyDescent="0.2">
      <c r="C94" s="11" t="s">
        <v>537</v>
      </c>
      <c r="L94" s="11" t="s">
        <v>538</v>
      </c>
    </row>
    <row r="95" spans="3:14" x14ac:dyDescent="0.2">
      <c r="C95" s="11" t="s">
        <v>539</v>
      </c>
      <c r="L95" s="11" t="s">
        <v>540</v>
      </c>
    </row>
    <row r="96" spans="3:14" x14ac:dyDescent="0.2">
      <c r="C96" s="11" t="s">
        <v>541</v>
      </c>
      <c r="L96" s="11" t="s">
        <v>542</v>
      </c>
    </row>
    <row r="97" spans="3:12" x14ac:dyDescent="0.2">
      <c r="C97" s="11" t="s">
        <v>543</v>
      </c>
      <c r="L97" s="11" t="s">
        <v>544</v>
      </c>
    </row>
    <row r="98" spans="3:12" x14ac:dyDescent="0.2">
      <c r="C98" s="11" t="s">
        <v>545</v>
      </c>
      <c r="L98" s="11" t="s">
        <v>546</v>
      </c>
    </row>
    <row r="99" spans="3:12" x14ac:dyDescent="0.2">
      <c r="C99" s="11" t="s">
        <v>547</v>
      </c>
      <c r="L99" s="11" t="s">
        <v>548</v>
      </c>
    </row>
    <row r="100" spans="3:12" x14ac:dyDescent="0.2">
      <c r="C100" s="11" t="s">
        <v>549</v>
      </c>
      <c r="L100" s="11" t="s">
        <v>550</v>
      </c>
    </row>
    <row r="101" spans="3:12" x14ac:dyDescent="0.2">
      <c r="C101" s="11" t="s">
        <v>551</v>
      </c>
      <c r="L101" s="11" t="s">
        <v>552</v>
      </c>
    </row>
    <row r="102" spans="3:12" x14ac:dyDescent="0.2">
      <c r="C102" s="11" t="s">
        <v>553</v>
      </c>
      <c r="L102" s="11" t="s">
        <v>554</v>
      </c>
    </row>
    <row r="103" spans="3:12" x14ac:dyDescent="0.2">
      <c r="C103" s="11" t="s">
        <v>555</v>
      </c>
      <c r="L103" s="11" t="s">
        <v>556</v>
      </c>
    </row>
    <row r="104" spans="3:12" x14ac:dyDescent="0.2">
      <c r="C104" s="11" t="s">
        <v>557</v>
      </c>
      <c r="L104" s="11" t="s">
        <v>558</v>
      </c>
    </row>
    <row r="105" spans="3:12" x14ac:dyDescent="0.2">
      <c r="C105" s="11" t="s">
        <v>559</v>
      </c>
      <c r="L105" s="11" t="s">
        <v>560</v>
      </c>
    </row>
    <row r="106" spans="3:12" x14ac:dyDescent="0.2">
      <c r="C106" s="11" t="s">
        <v>561</v>
      </c>
      <c r="L106" s="11" t="s">
        <v>562</v>
      </c>
    </row>
    <row r="107" spans="3:12" x14ac:dyDescent="0.2">
      <c r="C107" s="11" t="s">
        <v>563</v>
      </c>
      <c r="L107" s="11" t="s">
        <v>564</v>
      </c>
    </row>
    <row r="108" spans="3:12" x14ac:dyDescent="0.2">
      <c r="C108" s="11" t="s">
        <v>565</v>
      </c>
      <c r="L108" s="11" t="s">
        <v>566</v>
      </c>
    </row>
    <row r="109" spans="3:12" x14ac:dyDescent="0.2">
      <c r="C109" s="11" t="s">
        <v>567</v>
      </c>
      <c r="L109" s="11" t="s">
        <v>568</v>
      </c>
    </row>
    <row r="110" spans="3:12" x14ac:dyDescent="0.2">
      <c r="C110" s="11" t="s">
        <v>569</v>
      </c>
      <c r="L110" s="11" t="s">
        <v>570</v>
      </c>
    </row>
    <row r="111" spans="3:12" x14ac:dyDescent="0.2">
      <c r="C111" s="11" t="s">
        <v>571</v>
      </c>
      <c r="L111" s="11" t="s">
        <v>572</v>
      </c>
    </row>
    <row r="112" spans="3:12" x14ac:dyDescent="0.2">
      <c r="C112" s="11" t="s">
        <v>573</v>
      </c>
      <c r="L112" s="11" t="s">
        <v>574</v>
      </c>
    </row>
    <row r="113" spans="3:12" x14ac:dyDescent="0.2">
      <c r="C113" s="11" t="s">
        <v>575</v>
      </c>
      <c r="L113" s="11" t="s">
        <v>576</v>
      </c>
    </row>
    <row r="114" spans="3:12" x14ac:dyDescent="0.2">
      <c r="C114" s="11" t="s">
        <v>577</v>
      </c>
      <c r="L114" s="11" t="s">
        <v>578</v>
      </c>
    </row>
    <row r="115" spans="3:12" x14ac:dyDescent="0.2">
      <c r="C115" s="11" t="s">
        <v>579</v>
      </c>
      <c r="L115" s="11" t="s">
        <v>580</v>
      </c>
    </row>
    <row r="116" spans="3:12" x14ac:dyDescent="0.2">
      <c r="C116" s="11" t="s">
        <v>581</v>
      </c>
      <c r="L116" s="11" t="s">
        <v>582</v>
      </c>
    </row>
    <row r="117" spans="3:12" x14ac:dyDescent="0.2">
      <c r="C117" s="11" t="s">
        <v>583</v>
      </c>
      <c r="L117" s="11" t="s">
        <v>584</v>
      </c>
    </row>
    <row r="118" spans="3:12" x14ac:dyDescent="0.2">
      <c r="C118" s="11" t="s">
        <v>585</v>
      </c>
      <c r="L118" s="11" t="s">
        <v>586</v>
      </c>
    </row>
    <row r="119" spans="3:12" x14ac:dyDescent="0.2">
      <c r="C119" s="11" t="s">
        <v>587</v>
      </c>
      <c r="L119" s="11" t="s">
        <v>588</v>
      </c>
    </row>
    <row r="120" spans="3:12" x14ac:dyDescent="0.2">
      <c r="C120" s="11" t="s">
        <v>589</v>
      </c>
      <c r="L120" s="11" t="s">
        <v>590</v>
      </c>
    </row>
    <row r="121" spans="3:12" x14ac:dyDescent="0.2">
      <c r="C121" s="11" t="s">
        <v>591</v>
      </c>
      <c r="L121" s="11" t="s">
        <v>592</v>
      </c>
    </row>
    <row r="122" spans="3:12" x14ac:dyDescent="0.2">
      <c r="C122" s="11" t="s">
        <v>593</v>
      </c>
      <c r="L122" s="11" t="s">
        <v>594</v>
      </c>
    </row>
    <row r="123" spans="3:12" x14ac:dyDescent="0.2">
      <c r="C123" s="11" t="s">
        <v>595</v>
      </c>
      <c r="L123" s="11" t="s">
        <v>596</v>
      </c>
    </row>
    <row r="124" spans="3:12" x14ac:dyDescent="0.2">
      <c r="C124" s="11" t="s">
        <v>597</v>
      </c>
      <c r="L124" s="11" t="s">
        <v>598</v>
      </c>
    </row>
    <row r="125" spans="3:12" x14ac:dyDescent="0.2">
      <c r="C125" s="11" t="s">
        <v>599</v>
      </c>
      <c r="L125" s="11" t="s">
        <v>600</v>
      </c>
    </row>
    <row r="126" spans="3:12" x14ac:dyDescent="0.2">
      <c r="C126" s="11" t="s">
        <v>601</v>
      </c>
      <c r="L126" s="11" t="s">
        <v>602</v>
      </c>
    </row>
    <row r="127" spans="3:12" x14ac:dyDescent="0.2">
      <c r="C127" s="11" t="s">
        <v>603</v>
      </c>
      <c r="L127" s="11" t="s">
        <v>604</v>
      </c>
    </row>
    <row r="128" spans="3:12" x14ac:dyDescent="0.2">
      <c r="L128" s="11" t="s">
        <v>605</v>
      </c>
    </row>
    <row r="129" spans="12:12" x14ac:dyDescent="0.2">
      <c r="L129" s="11" t="s">
        <v>606</v>
      </c>
    </row>
    <row r="130" spans="12:12" x14ac:dyDescent="0.2">
      <c r="L130" s="11" t="s">
        <v>607</v>
      </c>
    </row>
    <row r="131" spans="12:12" x14ac:dyDescent="0.2">
      <c r="L131" s="11" t="s">
        <v>608</v>
      </c>
    </row>
    <row r="132" spans="12:12" x14ac:dyDescent="0.2">
      <c r="L132" s="11" t="s">
        <v>609</v>
      </c>
    </row>
    <row r="133" spans="12:12" x14ac:dyDescent="0.2">
      <c r="L133" s="11" t="s">
        <v>610</v>
      </c>
    </row>
    <row r="134" spans="12:12" x14ac:dyDescent="0.2">
      <c r="L134" s="11" t="s">
        <v>611</v>
      </c>
    </row>
    <row r="135" spans="12:12" x14ac:dyDescent="0.2">
      <c r="L135" s="11" t="s">
        <v>612</v>
      </c>
    </row>
    <row r="136" spans="12:12" x14ac:dyDescent="0.2">
      <c r="L136" s="11" t="s">
        <v>613</v>
      </c>
    </row>
    <row r="137" spans="12:12" x14ac:dyDescent="0.2">
      <c r="L137" s="11" t="s">
        <v>614</v>
      </c>
    </row>
    <row r="138" spans="12:12" x14ac:dyDescent="0.2">
      <c r="L138" s="11" t="s">
        <v>615</v>
      </c>
    </row>
    <row r="139" spans="12:12" x14ac:dyDescent="0.2">
      <c r="L139" s="11" t="s">
        <v>616</v>
      </c>
    </row>
    <row r="140" spans="12:12" x14ac:dyDescent="0.2">
      <c r="L140" s="11" t="s">
        <v>617</v>
      </c>
    </row>
    <row r="141" spans="12:12" x14ac:dyDescent="0.2">
      <c r="L141" s="11" t="s">
        <v>618</v>
      </c>
    </row>
    <row r="142" spans="12:12" x14ac:dyDescent="0.2">
      <c r="L142" s="11" t="s">
        <v>619</v>
      </c>
    </row>
    <row r="143" spans="12:12" x14ac:dyDescent="0.2">
      <c r="L143" s="11" t="s">
        <v>620</v>
      </c>
    </row>
    <row r="144" spans="12:12" x14ac:dyDescent="0.2">
      <c r="L144" s="11" t="s">
        <v>621</v>
      </c>
    </row>
    <row r="145" spans="12:12" x14ac:dyDescent="0.2">
      <c r="L145" s="11" t="s">
        <v>622</v>
      </c>
    </row>
    <row r="146" spans="12:12" x14ac:dyDescent="0.2">
      <c r="L146" s="11" t="s">
        <v>623</v>
      </c>
    </row>
    <row r="147" spans="12:12" x14ac:dyDescent="0.2">
      <c r="L147" s="11" t="s">
        <v>624</v>
      </c>
    </row>
    <row r="148" spans="12:12" x14ac:dyDescent="0.2">
      <c r="L148" s="11" t="s">
        <v>625</v>
      </c>
    </row>
    <row r="149" spans="12:12" x14ac:dyDescent="0.2">
      <c r="L149" s="11" t="s">
        <v>626</v>
      </c>
    </row>
    <row r="150" spans="12:12" x14ac:dyDescent="0.2">
      <c r="L150" s="11" t="s">
        <v>627</v>
      </c>
    </row>
    <row r="151" spans="12:12" x14ac:dyDescent="0.2">
      <c r="L151" s="11" t="s">
        <v>628</v>
      </c>
    </row>
    <row r="152" spans="12:12" x14ac:dyDescent="0.2">
      <c r="L152" s="11" t="s">
        <v>629</v>
      </c>
    </row>
    <row r="153" spans="12:12" x14ac:dyDescent="0.2">
      <c r="L153" s="11" t="s">
        <v>630</v>
      </c>
    </row>
    <row r="154" spans="12:12" x14ac:dyDescent="0.2">
      <c r="L154" s="11" t="s">
        <v>631</v>
      </c>
    </row>
    <row r="155" spans="12:12" x14ac:dyDescent="0.2">
      <c r="L155" s="11" t="s">
        <v>632</v>
      </c>
    </row>
    <row r="156" spans="12:12" x14ac:dyDescent="0.2">
      <c r="L156" s="11" t="s">
        <v>633</v>
      </c>
    </row>
    <row r="157" spans="12:12" x14ac:dyDescent="0.2">
      <c r="L157" s="11" t="s">
        <v>634</v>
      </c>
    </row>
    <row r="158" spans="12:12" x14ac:dyDescent="0.2">
      <c r="L158" s="11" t="s">
        <v>635</v>
      </c>
    </row>
    <row r="159" spans="12:12" x14ac:dyDescent="0.2">
      <c r="L159" s="11" t="s">
        <v>636</v>
      </c>
    </row>
    <row r="160" spans="12:12" x14ac:dyDescent="0.2">
      <c r="L160" s="11" t="s">
        <v>637</v>
      </c>
    </row>
    <row r="161" spans="12:12" x14ac:dyDescent="0.2">
      <c r="L161" s="11" t="s">
        <v>638</v>
      </c>
    </row>
    <row r="162" spans="12:12" x14ac:dyDescent="0.2">
      <c r="L162" s="11" t="s">
        <v>639</v>
      </c>
    </row>
    <row r="163" spans="12:12" x14ac:dyDescent="0.2">
      <c r="L163" s="11" t="s">
        <v>640</v>
      </c>
    </row>
    <row r="164" spans="12:12" x14ac:dyDescent="0.2">
      <c r="L164" s="11" t="s">
        <v>641</v>
      </c>
    </row>
    <row r="165" spans="12:12" x14ac:dyDescent="0.2">
      <c r="L165" s="11" t="s">
        <v>642</v>
      </c>
    </row>
    <row r="166" spans="12:12" x14ac:dyDescent="0.2">
      <c r="L166" s="11" t="s">
        <v>643</v>
      </c>
    </row>
    <row r="167" spans="12:12" x14ac:dyDescent="0.2">
      <c r="L167" s="11" t="s">
        <v>644</v>
      </c>
    </row>
    <row r="168" spans="12:12" x14ac:dyDescent="0.2">
      <c r="L168" s="11" t="s">
        <v>645</v>
      </c>
    </row>
    <row r="169" spans="12:12" x14ac:dyDescent="0.2">
      <c r="L169" s="11" t="s">
        <v>646</v>
      </c>
    </row>
    <row r="170" spans="12:12" x14ac:dyDescent="0.2">
      <c r="L170" s="11" t="s">
        <v>647</v>
      </c>
    </row>
    <row r="171" spans="12:12" x14ac:dyDescent="0.2">
      <c r="L171" s="11" t="s">
        <v>648</v>
      </c>
    </row>
    <row r="172" spans="12:12" x14ac:dyDescent="0.2">
      <c r="L172" s="11" t="s">
        <v>649</v>
      </c>
    </row>
    <row r="173" spans="12:12" x14ac:dyDescent="0.2">
      <c r="L173" s="11" t="s">
        <v>650</v>
      </c>
    </row>
    <row r="174" spans="12:12" x14ac:dyDescent="0.2">
      <c r="L174" s="11" t="s">
        <v>651</v>
      </c>
    </row>
    <row r="175" spans="12:12" x14ac:dyDescent="0.2">
      <c r="L175" s="11" t="s">
        <v>652</v>
      </c>
    </row>
    <row r="176" spans="12:12" x14ac:dyDescent="0.2">
      <c r="L176" s="11" t="s">
        <v>653</v>
      </c>
    </row>
    <row r="177" spans="12:12" x14ac:dyDescent="0.2">
      <c r="L177" s="11" t="s">
        <v>654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a09f66-0532-42fe-954e-6d600b084763">
      <Terms xmlns="http://schemas.microsoft.com/office/infopath/2007/PartnerControls"/>
    </lcf76f155ced4ddcb4097134ff3c332f>
    <TaxCatchAll xmlns="3e9caaac-715d-4dbc-983c-8c5ef65a04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98859F05841D4C913F2A77C1A1D9F9" ma:contentTypeVersion="14" ma:contentTypeDescription="Create a new document." ma:contentTypeScope="" ma:versionID="7d5e7616e7223a4f1cf3eac585b3589a">
  <xsd:schema xmlns:xsd="http://www.w3.org/2001/XMLSchema" xmlns:xs="http://www.w3.org/2001/XMLSchema" xmlns:p="http://schemas.microsoft.com/office/2006/metadata/properties" xmlns:ns2="1ba09f66-0532-42fe-954e-6d600b084763" xmlns:ns3="3e9caaac-715d-4dbc-983c-8c5ef65a0473" targetNamespace="http://schemas.microsoft.com/office/2006/metadata/properties" ma:root="true" ma:fieldsID="8b8447c40db6d128ab1261abbaeaae92" ns2:_="" ns3:_="">
    <xsd:import namespace="1ba09f66-0532-42fe-954e-6d600b084763"/>
    <xsd:import namespace="3e9caaac-715d-4dbc-983c-8c5ef65a04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09f66-0532-42fe-954e-6d600b0847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c8439e-0f4c-460c-87ac-674f609d5c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caaac-715d-4dbc-983c-8c5ef65a04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79632b-339e-45a8-a127-a76a4ed03700}" ma:internalName="TaxCatchAll" ma:showField="CatchAllData" ma:web="3e9caaac-715d-4dbc-983c-8c5ef65a04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48B06B-A8AA-42E0-B809-7BCFB7220157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3e9caaac-715d-4dbc-983c-8c5ef65a0473"/>
    <ds:schemaRef ds:uri="1ba09f66-0532-42fe-954e-6d600b084763"/>
  </ds:schemaRefs>
</ds:datastoreItem>
</file>

<file path=customXml/itemProps2.xml><?xml version="1.0" encoding="utf-8"?>
<ds:datastoreItem xmlns:ds="http://schemas.openxmlformats.org/officeDocument/2006/customXml" ds:itemID="{CBDD5585-2B5C-4F02-9AAE-1FC19DBD38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656781-2862-45E6-A984-4AB3A72C4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09f66-0532-42fe-954e-6d600b084763"/>
    <ds:schemaRef ds:uri="3e9caaac-715d-4dbc-983c-8c5ef65a0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43</vt:i4>
      </vt:variant>
    </vt:vector>
  </HeadingPairs>
  <TitlesOfParts>
    <vt:vector size="49" baseType="lpstr">
      <vt:lpstr>Instructions</vt:lpstr>
      <vt:lpstr>LLM jobs</vt:lpstr>
      <vt:lpstr>Token estimator</vt:lpstr>
      <vt:lpstr>Video jobs</vt:lpstr>
      <vt:lpstr>Usage &amp; context</vt:lpstr>
      <vt:lpstr>Reference lists</vt:lpstr>
      <vt:lpstr>countries_list</vt:lpstr>
      <vt:lpstr>devices_list</vt:lpstr>
      <vt:lpstr>models_text_anthropic</vt:lpstr>
      <vt:lpstr>models_text_cohere</vt:lpstr>
      <vt:lpstr>models_text_google_genai</vt:lpstr>
      <vt:lpstr>models_text_huggingface_hub</vt:lpstr>
      <vt:lpstr>models_text_mistralai</vt:lpstr>
      <vt:lpstr>models_text_openai</vt:lpstr>
      <vt:lpstr>models_video_alibaba</vt:lpstr>
      <vt:lpstr>models_video_bytedance</vt:lpstr>
      <vt:lpstr>models_video_google</vt:lpstr>
      <vt:lpstr>models_video_klingai</vt:lpstr>
      <vt:lpstr>models_video_lightricks</vt:lpstr>
      <vt:lpstr>models_video_openai</vt:lpstr>
      <vt:lpstr>models_video_runway</vt:lpstr>
      <vt:lpstr>models_video_tencent</vt:lpstr>
      <vt:lpstr>networks_list</vt:lpstr>
      <vt:lpstr>reply_length_labels_list</vt:lpstr>
      <vt:lpstr>reply_length_tokens_map</vt:lpstr>
      <vt:lpstr>resolutions_gen_4_5</vt:lpstr>
      <vt:lpstr>resolutions_hunyuanvideo</vt:lpstr>
      <vt:lpstr>resolutions_hunyuanvideo_1_5</vt:lpstr>
      <vt:lpstr>resolutions_kling_v1_6</vt:lpstr>
      <vt:lpstr>resolutions_kling_v2_6</vt:lpstr>
      <vt:lpstr>resolutions_kling_v3</vt:lpstr>
      <vt:lpstr>resolutions_ltx_2_t2v</vt:lpstr>
      <vt:lpstr>resolutions_ltx_2_t2va</vt:lpstr>
      <vt:lpstr>resolutions_seedance_1_0</vt:lpstr>
      <vt:lpstr>resolutions_seedance_1_5_pro</vt:lpstr>
      <vt:lpstr>resolutions_sora_2_pro</vt:lpstr>
      <vt:lpstr>resolutions_veo_3_0</vt:lpstr>
      <vt:lpstr>resolutions_veo_3_0_fast</vt:lpstr>
      <vt:lpstr>resolutions_veo_3_1</vt:lpstr>
      <vt:lpstr>resolutions_veo_3_1_fast</vt:lpstr>
      <vt:lpstr>resolutions_wan2_1</vt:lpstr>
      <vt:lpstr>resolutions_wan2_2</vt:lpstr>
      <vt:lpstr>text_provider_examples_map</vt:lpstr>
      <vt:lpstr>text_providers</vt:lpstr>
      <vt:lpstr>timespan_units_list</vt:lpstr>
      <vt:lpstr>video_provider_examples_map</vt:lpstr>
      <vt:lpstr>video_providers</vt:lpstr>
      <vt:lpstr>video_resolutions_list</vt:lpstr>
      <vt:lpstr>yes_no_list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CK</cp:lastModifiedBy>
  <cp:revision>0</cp:revision>
  <dcterms:created xsi:type="dcterms:W3CDTF">2026-07-02T14:34:18Z</dcterms:created>
  <dcterms:modified xsi:type="dcterms:W3CDTF">2026-07-02T16:22:41Z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0x010100B598859F05841D4C913F2A77C1A1D9F9</vt:lpwstr>
  </property>
  <property fmtid="{D5CDD505-2E9C-101B-9397-08002B2CF9AE}" pid="3" name="MediaServiceImageTags">
    <vt:lpwstr/>
  </property>
</Properties>
</file>